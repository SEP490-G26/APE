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afd12d24a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e27a87cc286460f"/>
    <x:sheet xmlns:r="http://schemas.openxmlformats.org/officeDocument/2006/relationships" name="Scoring Dictionary" sheetId="2" r:id="Re8e3a77405514d38"/>
    <x:sheet xmlns:r="http://schemas.openxmlformats.org/officeDocument/2006/relationships" name="Lists" sheetId="3" r:id="R73ac165c0be24b07"/>
    <x:sheet xmlns:r="http://schemas.openxmlformats.org/officeDocument/2006/relationships" name="Extraction Review Embedding" sheetId="4" r:id="R61486d5b84134f3d"/>
    <x:sheet xmlns:r="http://schemas.openxmlformats.org/officeDocument/2006/relationships" name="Generation Review" sheetId="5" r:id="R1bcd9e0f56e34890"/>
    <x:sheet xmlns:r="http://schemas.openxmlformats.org/officeDocument/2006/relationships" name="Code Mentor" sheetId="6" r:id="Rd60ed728df684c0b"/>
    <x:sheet xmlns:r="http://schemas.openxmlformats.org/officeDocument/2006/relationships" name="Summary" sheetId="7" r:id="R49e5f45785ed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0.000;-0.000;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8B5E34"/>
      </x:patternFill>
    </x:fill>
    <x:fill>
      <x:patternFill patternType="solid">
        <x:fgColor rgb="FF5D4383"/>
      </x:patternFill>
    </x:fill>
    <x:fill>
      <x:patternFill patternType="solid">
        <x:fgColor rgb="FF203864"/>
      </x:patternFill>
    </x:fill>
    <x:fill>
      <x:patternFill patternType="solid">
        <x:fgColor rgb="FF4E7C67"/>
      </x:patternFill>
    </x:fill>
    <x:fill>
      <x:patternFill patternType="solid">
        <x:fgColor rgb="FFA56A43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horizont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7172068ad4132" /><Relationship Type="http://schemas.openxmlformats.org/officeDocument/2006/relationships/theme" Target="/xl/theme/theme1.xml" Id="Re8a967e3d03e444b" /><Relationship Type="http://schemas.openxmlformats.org/officeDocument/2006/relationships/sharedStrings" Target="/xl/sharedStrings.xml" Id="Rf1204c4fb2b8401a" /><Relationship Type="http://schemas.openxmlformats.org/officeDocument/2006/relationships/worksheet" Target="/xl/worksheets/sheet1.xml" Id="Rde27a87cc286460f" /><Relationship Type="http://schemas.openxmlformats.org/officeDocument/2006/relationships/worksheet" Target="/xl/worksheets/sheet2.xml" Id="Re8e3a77405514d38" /><Relationship Type="http://schemas.openxmlformats.org/officeDocument/2006/relationships/worksheet" Target="/xl/worksheets/sheet3.xml" Id="R73ac165c0be24b07" /><Relationship Type="http://schemas.openxmlformats.org/officeDocument/2006/relationships/worksheet" Target="/xl/worksheets/sheet4.xml" Id="R61486d5b84134f3d" /><Relationship Type="http://schemas.openxmlformats.org/officeDocument/2006/relationships/worksheet" Target="/xl/worksheets/sheet5.xml" Id="R1bcd9e0f56e34890" /><Relationship Type="http://schemas.openxmlformats.org/officeDocument/2006/relationships/worksheet" Target="/xl/worksheets/sheet6.xml" Id="Rd60ed728df684c0b" /><Relationship Type="http://schemas.openxmlformats.org/officeDocument/2006/relationships/worksheet" Target="/xl/worksheets/sheet7.xml" Id="R49e5f45785ed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AI Quality Test Workbook</x:v>
      </x:c>
    </x:row>
    <x:row r="3">
      <x:c r="A3" s="10" t="str">
        <x:v>Sheet</x:v>
      </x:c>
      <x:c r="B3" s="10" t="str">
        <x:v>Purpose</x:v>
      </x:c>
      <x:c r="D3" s="18" t="str">
        <x:v>Quick Use</x:v>
      </x:c>
      <x:c r="E3" s="18" t="str"/>
      <x:c r="F3" s="18" t="str"/>
      <x:c r="G3" s="18" t="str"/>
      <x:c r="H3" s="18" t="str"/>
    </x:row>
    <x:row r="4">
      <x:c r="A4" s="12" t="str">
        <x:v>Extraction Review Embedding</x:v>
      </x:c>
      <x:c r="B4" s="12" t="str">
        <x:v>Cham tay cho 80 to hop extraction model x autotagging model, embedding model co dinh Cohere Multilingual v3.0.</x:v>
      </x:c>
      <x:c r="D4" s="12" t="str">
        <x:v>1</x:v>
      </x:c>
      <x:c r="E4" s="12" t="str">
        <x:v>Chay test</x:v>
      </x:c>
      <x:c r="F4" s="12" t="str">
        <x:v>Moi dong la 1 case test.</x:v>
      </x:c>
      <x:c r="G4" s="12" t="str"/>
      <x:c r="H4" s="12" t="str"/>
    </x:row>
    <x:row r="5">
      <x:c r="A5" s="12" t="str">
        <x:v>Generation Review</x:v>
      </x:c>
      <x:c r="B5" s="12" t="str">
        <x:v>Cham tay cho 100 case generation-review, da prefill du same model dual role va dual agent.</x:v>
      </x:c>
      <x:c r="D5" s="12" t="str">
        <x:v>2</x:v>
      </x:c>
      <x:c r="E5" s="12" t="str">
        <x:v>Nhap diem tay</x:v>
      </x:c>
      <x:c r="F5" s="12" t="str">
        <x:v>Chi nhap diem 0 -&gt; 1 o cac cot score.</x:v>
      </x:c>
      <x:c r="G5" s="12" t="str"/>
      <x:c r="H5" s="12" t="str"/>
    </x:row>
    <x:row r="6">
      <x:c r="A6" s="12" t="str">
        <x:v>Code Mentor</x:v>
      </x:c>
      <x:c r="B6" s="12" t="str">
        <x:v>Cham tay cho 10 model code mentor.</x:v>
      </x:c>
      <x:c r="D6" s="12" t="str">
        <x:v>3</x:v>
      </x:c>
      <x:c r="E6" s="12" t="str">
        <x:v>Nhap metadata</x:v>
      </x:c>
      <x:c r="F6" s="12" t="str">
        <x:v>Dien doc case, subject, difficulty, tester, note neu can.</x:v>
      </x:c>
      <x:c r="G6" s="12" t="str"/>
      <x:c r="H6" s="12" t="str"/>
    </x:row>
    <x:row r="7">
      <x:c r="A7" s="12" t="str">
        <x:v>Summary</x:v>
      </x:c>
      <x:c r="B7" s="12" t="str">
        <x:v>So sanh diem trung binh va ty le pass theo model.</x:v>
      </x:c>
      <x:c r="D7" s="12" t="str">
        <x:v>4</x:v>
      </x:c>
      <x:c r="E7" s="12" t="str">
        <x:v>Xem ket qua</x:v>
      </x:c>
      <x:c r="F7" s="12" t="str">
        <x:v>Cot overall/final score va pass_fail da tu tinh.</x:v>
      </x:c>
      <x:c r="G7" s="12" t="str"/>
      <x:c r="H7" s="12" t="str"/>
    </x:row>
    <x:row r="8">
      <x:c r="A8" s="12" t="str">
        <x:v>Scoring Dictionary</x:v>
      </x:c>
      <x:c r="B8" s="12" t="str">
        <x:v>Nguon trong so va nguong pass_threshold dung de tinh diem.</x:v>
      </x:c>
      <x:c r="D8" s="12" t="str">
        <x:v>5</x:v>
      </x:c>
      <x:c r="E8" s="12" t="str">
        <x:v>So model</x:v>
      </x:c>
      <x:c r="F8" s="12" t="str">
        <x:v>Xem sheet Summary de so sanh trung binh theo model.</x:v>
      </x:c>
      <x:c r="G8" s="12" t="str"/>
      <x:c r="H8" s="12" t="str"/>
    </x:row>
    <x:row r="9">
      <x:c r="A9" s="12" t="str">
        <x:v>Lists</x:v>
      </x:c>
      <x:c r="B9" s="12" t="str">
        <x:v>Danh sach model, loai cau hoi, difficulty, trang thai. Sheet nay de hidden.</x:v>
      </x:c>
      <x:c r="D9" s="12"/>
      <x:c r="E9" s="12"/>
      <x:c r="F9" s="12"/>
      <x:c r="G9" s="12"/>
      <x:c r="H9" s="12"/>
    </x:row>
    <x:row r="11">
      <x:c r="A11" s="24" t="str">
        <x:v>Legend</x:v>
      </x:c>
      <x:c r="B11" s="24" t="str"/>
      <x:c r="C11" s="24" t="str"/>
      <x:c r="D11" s="24" t="str"/>
      <x:c r="E11" s="24" t="str"/>
      <x:c r="F11" s="24" t="str"/>
      <x:c r="G11" s="24" t="str"/>
      <x:c r="H11" s="24" t="str"/>
    </x:row>
    <x:row r="12">
      <x:c r="A12" s="12" t="str">
        <x:v>Nhap tay</x:v>
      </x:c>
      <x:c r="B12" s="12" t="str">
        <x:v>Cac cot score, doc_case, question_type, difficulty, tester, note.</x:v>
      </x:c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>
        <x:v>Cong thuc</x:v>
      </x:c>
      <x:c r="B13" s="12" t="str">
        <x:v>Cac cot overall_quality_score, final_quality_score, adjusted_quality_score, pass_fail.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Score range</x:v>
      </x:c>
      <x:c r="B14" s="12" t="str">
        <x:v>0 = fail ro rang, 0.5 = tam chap nhan, 1 = tot.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Note</x:v>
      </x:c>
      <x:c r="B15" s="12" t="str">
        <x:v>Question type FE/PE can duoc chon de cong thuc generation ap dung dung metric distractor/testcase.</x:v>
      </x:c>
      <x:c r="C15" s="12" t="str"/>
      <x:c r="D15" s="12" t="str"/>
      <x:c r="E15" s="12" t="str"/>
      <x:c r="F15" s="12" t="str"/>
      <x:c r="G15" s="12" t="str"/>
      <x:c r="H15" s="12" t="str"/>
    </x:row>
  </x:sheetData>
  <x:mergeCells>
    <x:mergeCell ref="A1:H1"/>
    <x:mergeCell ref="D3:H3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4" hidden="0" customWidth="1"/>
    <x:col min="4" max="4" width="12" hidden="0" customWidth="1"/>
    <x:col min="5" max="5" width="12" hidden="0" customWidth="1"/>
    <x:col min="6" max="6" width="14" hidden="0" customWidth="1"/>
    <x:col min="7" max="7" width="28" hidden="0" customWidth="1"/>
  </x:cols>
  <x:sheetData>
    <x:row r="1">
      <x:c r="A1" s="30" t="str">
        <x:v>sheet_name</x:v>
      </x:c>
      <x:c r="B1" s="30" t="str">
        <x:v>metric_name</x:v>
      </x:c>
      <x:c r="C1" s="30" t="str">
        <x:v>metric_definition</x:v>
      </x:c>
      <x:c r="D1" s="30" t="str">
        <x:v>score_range</x:v>
      </x:c>
      <x:c r="E1" s="30" t="str">
        <x:v>weight</x:v>
      </x:c>
      <x:c r="F1" s="30" t="str">
        <x:v>pass_threshold</x:v>
      </x:c>
      <x:c r="G1" s="30" t="str">
        <x:v>notes</x:v>
      </x:c>
    </x:row>
    <x:row r="2">
      <x:c r="A2" s="12" t="str">
        <x:v>Input Quality Benchmark</x:v>
      </x:c>
      <x:c r="B2" s="12" t="str">
        <x:v>ocr_text_accuracy_score</x:v>
      </x:c>
      <x:c r="C2" s="12" t="str">
        <x:v>Do chinh xac text sau OCR hoac parsing</x:v>
      </x:c>
      <x:c r="D2" s="12" t="str">
        <x:v>0-1</x:v>
      </x:c>
      <x:c r="E2" s="31" t="n">
        <x:v>0.2</x:v>
      </x:c>
      <x:c r="F2" s="31" t="n">
        <x:v>0.75</x:v>
      </x:c>
      <x:c r="G2" s="12" t="str"/>
    </x:row>
    <x:row r="3">
      <x:c r="A3" s="12" t="str">
        <x:v>Input Quality Benchmark</x:v>
      </x:c>
      <x:c r="B3" s="12" t="str">
        <x:v>content_cleanliness_score</x:v>
      </x:c>
      <x:c r="C3" s="12" t="str">
        <x:v>Muc do loai bo ky tu rac khoang trang va noise</x:v>
      </x:c>
      <x:c r="D3" s="12" t="str">
        <x:v>0-1</x:v>
      </x:c>
      <x:c r="E3" s="31" t="n">
        <x:v>0.2</x:v>
      </x:c>
      <x:c r="F3" s="31" t="n">
        <x:v>0.75</x:v>
      </x:c>
      <x:c r="G3" s="12" t="str"/>
    </x:row>
    <x:row r="4">
      <x:c r="A4" s="12" t="str">
        <x:v>Input Quality Benchmark</x:v>
      </x:c>
      <x:c r="B4" s="12" t="str">
        <x:v>chunk_boundary_score</x:v>
      </x:c>
      <x:c r="C4" s="12" t="str">
        <x:v>Muc do chia dung cum noi dung va khong cat vo nghia</x:v>
      </x:c>
      <x:c r="D4" s="12" t="str">
        <x:v>0-1</x:v>
      </x:c>
      <x:c r="E4" s="31" t="n">
        <x:v>0.2</x:v>
      </x:c>
      <x:c r="F4" s="31" t="n">
        <x:v>0.75</x:v>
      </x:c>
      <x:c r="G4" s="12" t="str"/>
    </x:row>
    <x:row r="5">
      <x:c r="A5" s="12" t="str">
        <x:v>Input Quality Benchmark</x:v>
      </x:c>
      <x:c r="B5" s="12" t="str">
        <x:v>tag_relevance_score</x:v>
      </x:c>
      <x:c r="C5" s="12" t="str">
        <x:v>Tag co bam sat noi dung chunk hay khong</x:v>
      </x:c>
      <x:c r="D5" s="12" t="str">
        <x:v>0-1</x:v>
      </x:c>
      <x:c r="E5" s="31" t="n">
        <x:v>0.15</x:v>
      </x:c>
      <x:c r="F5" s="31" t="n">
        <x:v>0.75</x:v>
      </x:c>
      <x:c r="G5" s="12" t="str"/>
    </x:row>
    <x:row r="6">
      <x:c r="A6" s="12" t="str">
        <x:v>Input Quality Benchmark</x:v>
      </x:c>
      <x:c r="B6" s="12" t="str">
        <x:v>tag_coverage_score</x:v>
      </x:c>
      <x:c r="C6" s="12" t="str">
        <x:v>Muc do bao phu topic quan trong cua tai lieu</x:v>
      </x:c>
      <x:c r="D6" s="12" t="str">
        <x:v>0-1</x:v>
      </x:c>
      <x:c r="E6" s="31" t="n">
        <x:v>0.1</x:v>
      </x:c>
      <x:c r="F6" s="31" t="n">
        <x:v>0.7</x:v>
      </x:c>
      <x:c r="G6" s="12" t="str"/>
    </x:row>
    <x:row r="7">
      <x:c r="A7" s="12" t="str">
        <x:v>Input Quality Benchmark</x:v>
      </x:c>
      <x:c r="B7" s="12" t="str">
        <x:v>image_description_quality_score</x:v>
      </x:c>
      <x:c r="C7" s="12" t="str">
        <x:v>Chat luong mo ta anh neu co vision</x:v>
      </x:c>
      <x:c r="D7" s="12" t="str">
        <x:v>0-1</x:v>
      </x:c>
      <x:c r="E7" s="31" t="n">
        <x:v>0.05</x:v>
      </x:c>
      <x:c r="F7" s="31" t="n">
        <x:v>0.6</x:v>
      </x:c>
      <x:c r="G7" s="12" t="str"/>
    </x:row>
    <x:row r="8">
      <x:c r="A8" s="12" t="str">
        <x:v>Input Quality Benchmark</x:v>
      </x:c>
      <x:c r="B8" s="12" t="str">
        <x:v>grounding_traceability_score</x:v>
      </x:c>
      <x:c r="C8" s="12" t="str">
        <x:v>Co truy vet duoc nguon chunk/page/segment hay khong</x:v>
      </x:c>
      <x:c r="D8" s="12" t="str">
        <x:v>0-1</x:v>
      </x:c>
      <x:c r="E8" s="31" t="n">
        <x:v>0.1</x:v>
      </x:c>
      <x:c r="F8" s="31" t="n">
        <x:v>0.8</x:v>
      </x:c>
      <x:c r="G8" s="12" t="str"/>
    </x:row>
    <x:row r="9">
      <x:c r="A9" s="12" t="str">
        <x:v>Question Generation Benchmark</x:v>
      </x:c>
      <x:c r="B9" s="12" t="str">
        <x:v>schema_valid_rate</x:v>
      </x:c>
      <x:c r="C9" s="12" t="str">
        <x:v>Ty le cau hoi dung schema dich</x:v>
      </x:c>
      <x:c r="D9" s="12" t="str">
        <x:v>0-1</x:v>
      </x:c>
      <x:c r="E9" s="31" t="n">
        <x:v>0.15</x:v>
      </x:c>
      <x:c r="F9" s="31" t="n">
        <x:v>1</x:v>
      </x:c>
      <x:c r="G9" s="12" t="str"/>
    </x:row>
    <x:row r="10">
      <x:c r="A10" s="12" t="str">
        <x:v>Question Generation Benchmark</x:v>
      </x:c>
      <x:c r="B10" s="12" t="str">
        <x:v>grounded_rate</x:v>
      </x:c>
      <x:c r="C10" s="12" t="str">
        <x:v>Ty le cau hoi bam sat context nguon</x:v>
      </x:c>
      <x:c r="D10" s="12" t="str">
        <x:v>0-1</x:v>
      </x:c>
      <x:c r="E10" s="31" t="n">
        <x:v>0.25</x:v>
      </x:c>
      <x:c r="F10" s="31" t="n">
        <x:v>0.8</x:v>
      </x:c>
      <x:c r="G10" s="12" t="str"/>
    </x:row>
    <x:row r="11">
      <x:c r="A11" s="12" t="str">
        <x:v>Question Generation Benchmark</x:v>
      </x:c>
      <x:c r="B11" s="12" t="str">
        <x:v>difficulty_alignment_score</x:v>
      </x:c>
      <x:c r="C11" s="12" t="str">
        <x:v>Do khop muc do de kho voi target</x:v>
      </x:c>
      <x:c r="D11" s="12" t="str">
        <x:v>0-1</x:v>
      </x:c>
      <x:c r="E11" s="31" t="n">
        <x:v>0.15</x:v>
      </x:c>
      <x:c r="F11" s="31" t="n">
        <x:v>0.75</x:v>
      </x:c>
      <x:c r="G11" s="12" t="str"/>
    </x:row>
    <x:row r="12">
      <x:c r="A12" s="12" t="str">
        <x:v>Question Generation Benchmark</x:v>
      </x:c>
      <x:c r="B12" s="12" t="str">
        <x:v>topic_relevance_score</x:v>
      </x:c>
      <x:c r="C12" s="12" t="str">
        <x:v>Do bam sat topic duoc yeu cau</x:v>
      </x:c>
      <x:c r="D12" s="12" t="str">
        <x:v>0-1</x:v>
      </x:c>
      <x:c r="E12" s="31" t="n">
        <x:v>0.15</x:v>
      </x:c>
      <x:c r="F12" s="31" t="n">
        <x:v>0.8</x:v>
      </x:c>
      <x:c r="G12" s="12" t="str"/>
    </x:row>
    <x:row r="13">
      <x:c r="A13" s="12" t="str">
        <x:v>Question Generation Benchmark</x:v>
      </x:c>
      <x:c r="B13" s="12" t="str">
        <x:v>question_clarity_score</x:v>
      </x:c>
      <x:c r="C13" s="12" t="str">
        <x:v>Muc do ro rang tu than cua cau hoi</x:v>
      </x:c>
      <x:c r="D13" s="12" t="str">
        <x:v>0-1</x:v>
      </x:c>
      <x:c r="E13" s="31" t="n">
        <x:v>0.1</x:v>
      </x:c>
      <x:c r="F13" s="31" t="n">
        <x:v>0.75</x:v>
      </x:c>
      <x:c r="G13" s="12" t="str"/>
    </x:row>
    <x:row r="14">
      <x:c r="A14" s="12" t="str">
        <x:v>Question Generation Benchmark</x:v>
      </x:c>
      <x:c r="B14" s="12" t="str">
        <x:v>question_usefulness_score</x:v>
      </x:c>
      <x:c r="C14" s="12" t="str">
        <x:v>Muc do co gia tri hoc thuat va su pham</x:v>
      </x:c>
      <x:c r="D14" s="12" t="str">
        <x:v>0-1</x:v>
      </x:c>
      <x:c r="E14" s="31" t="n">
        <x:v>0.1</x:v>
      </x:c>
      <x:c r="F14" s="31" t="n">
        <x:v>0.75</x:v>
      </x:c>
      <x:c r="G14" s="12" t="str"/>
    </x:row>
    <x:row r="15">
      <x:c r="A15" s="12" t="str">
        <x:v>Question Generation Benchmark</x:v>
      </x:c>
      <x:c r="B15" s="12" t="str">
        <x:v>distractor_quality_score</x:v>
      </x:c>
      <x:c r="C15" s="12" t="str">
        <x:v>Chi ap dung FE - chat luong phuong an nhieu lua chon</x:v>
      </x:c>
      <x:c r="D15" s="12" t="str">
        <x:v>0-1</x:v>
      </x:c>
      <x:c r="E15" s="31" t="n">
        <x:v>0.07</x:v>
      </x:c>
      <x:c r="F15" s="31" t="n">
        <x:v>0.7</x:v>
      </x:c>
      <x:c r="G15" s="12" t="str">
        <x:v>FE only</x:v>
      </x:c>
    </x:row>
    <x:row r="16">
      <x:c r="A16" s="12" t="str">
        <x:v>Question Generation Benchmark</x:v>
      </x:c>
      <x:c r="B16" s="12" t="str">
        <x:v>testcase_quality_score</x:v>
      </x:c>
      <x:c r="C16" s="12" t="str">
        <x:v>Chi ap dung PE - chat luong test case danh gia</x:v>
      </x:c>
      <x:c r="D16" s="12" t="str">
        <x:v>0-1</x:v>
      </x:c>
      <x:c r="E16" s="31" t="n">
        <x:v>0.09</x:v>
      </x:c>
      <x:c r="F16" s="31" t="n">
        <x:v>0.7</x:v>
      </x:c>
      <x:c r="G16" s="12" t="str">
        <x:v>PE only</x:v>
      </x:c>
    </x:row>
    <x:row r="17">
      <x:c r="A17" s="12" t="str">
        <x:v>Question Generation Benchmark</x:v>
      </x:c>
      <x:c r="B17" s="12" t="str">
        <x:v>rule_based_pass_rate</x:v>
      </x:c>
      <x:c r="C17" s="12" t="str">
        <x:v>Ty le vuot cac luat rule-based reviewer</x:v>
      </x:c>
      <x:c r="D17" s="12" t="str">
        <x:v>0-1</x:v>
      </x:c>
      <x:c r="E17" s="31" t="n">
        <x:v>0.1</x:v>
      </x:c>
      <x:c r="F17" s="31" t="n">
        <x:v>0.8</x:v>
      </x:c>
      <x:c r="G17" s="12" t="str"/>
    </x:row>
    <x:row r="18">
      <x:c r="A18" s="12" t="str">
        <x:v>Code Mentor Benchmark</x:v>
      </x:c>
      <x:c r="B18" s="12" t="str">
        <x:v>bug_detection_score</x:v>
      </x:c>
      <x:c r="C18" s="12" t="str">
        <x:v>Do dung khi phat hien loi sai</x:v>
      </x:c>
      <x:c r="D18" s="12" t="str">
        <x:v>0-1</x:v>
      </x:c>
      <x:c r="E18" s="31" t="n">
        <x:v>0.2</x:v>
      </x:c>
      <x:c r="F18" s="31" t="n">
        <x:v>0.75</x:v>
      </x:c>
      <x:c r="G18" s="12" t="str"/>
    </x:row>
    <x:row r="19">
      <x:c r="A19" s="12" t="str">
        <x:v>Code Mentor Benchmark</x:v>
      </x:c>
      <x:c r="B19" s="12" t="str">
        <x:v>correctness_feedback_score</x:v>
      </x:c>
      <x:c r="C19" s="12" t="str">
        <x:v>Do dung cua nhan xet ve tinh dung sai cua code</x:v>
      </x:c>
      <x:c r="D19" s="12" t="str">
        <x:v>0-1</x:v>
      </x:c>
      <x:c r="E19" s="31" t="n">
        <x:v>0.2</x:v>
      </x:c>
      <x:c r="F19" s="31" t="n">
        <x:v>0.75</x:v>
      </x:c>
      <x:c r="G19" s="12" t="str"/>
    </x:row>
    <x:row r="20">
      <x:c r="A20" s="12" t="str">
        <x:v>Code Mentor Benchmark</x:v>
      </x:c>
      <x:c r="B20" s="12" t="str">
        <x:v>code_quality_feedback_score</x:v>
      </x:c>
      <x:c r="C20" s="12" t="str">
        <x:v>Chat luong nhan xet ve style cau truc va code smell</x:v>
      </x:c>
      <x:c r="D20" s="12" t="str">
        <x:v>0-1</x:v>
      </x:c>
      <x:c r="E20" s="31" t="n">
        <x:v>0.15</x:v>
      </x:c>
      <x:c r="F20" s="31" t="n">
        <x:v>0.7</x:v>
      </x:c>
      <x:c r="G20" s="12" t="str"/>
    </x:row>
    <x:row r="21">
      <x:c r="A21" s="12" t="str">
        <x:v>Code Mentor Benchmark</x:v>
      </x:c>
      <x:c r="B21" s="12" t="str">
        <x:v>actionability_score</x:v>
      </x:c>
      <x:c r="C21" s="12" t="str">
        <x:v>Muc do de xuat sua loi co the lam theo ngay</x:v>
      </x:c>
      <x:c r="D21" s="12" t="str">
        <x:v>0-1</x:v>
      </x:c>
      <x:c r="E21" s="31" t="n">
        <x:v>0.15</x:v>
      </x:c>
      <x:c r="F21" s="31" t="n">
        <x:v>0.75</x:v>
      </x:c>
      <x:c r="G21" s="12" t="str"/>
    </x:row>
    <x:row r="22">
      <x:c r="A22" s="12" t="str">
        <x:v>Code Mentor Benchmark</x:v>
      </x:c>
      <x:c r="B22" s="12" t="str">
        <x:v>specificity_score</x:v>
      </x:c>
      <x:c r="C22" s="12" t="str">
        <x:v>Muc do cu the thay vi nhan xet mo ho</x:v>
      </x:c>
      <x:c r="D22" s="12" t="str">
        <x:v>0-1</x:v>
      </x:c>
      <x:c r="E22" s="31" t="n">
        <x:v>0.1</x:v>
      </x:c>
      <x:c r="F22" s="31" t="n">
        <x:v>0.7</x:v>
      </x:c>
      <x:c r="G22" s="12" t="str"/>
    </x:row>
    <x:row r="23">
      <x:c r="A23" s="12" t="str">
        <x:v>Code Mentor Benchmark</x:v>
      </x:c>
      <x:c r="B23" s="12" t="str">
        <x:v>hallucination_penalty</x:v>
      </x:c>
      <x:c r="C23" s="12" t="str">
        <x:v>Muc phat khi nhan xet sai khong bam vao code</x:v>
      </x:c>
      <x:c r="D23" s="12" t="str">
        <x:v>0-1</x:v>
      </x:c>
      <x:c r="E23" s="31" t="n">
        <x:v>-1</x:v>
      </x:c>
      <x:c r="F23" s="31" t="n">
        <x:v>0</x:v>
      </x:c>
      <x:c r="G23" s="12" t="str">
        <x:v>Subtract from final score</x:v>
      </x:c>
    </x:row>
    <x:row r="24">
      <x:c r="A24" s="12" t="str">
        <x:v>Code Mentor Benchmark</x:v>
      </x:c>
      <x:c r="B24" s="12" t="str">
        <x:v>grounded_to_code_score</x:v>
      </x:c>
      <x:c r="C24" s="12" t="str">
        <x:v>Muc do nhan xet bam vao source code va context de bai</x:v>
      </x:c>
      <x:c r="D24" s="12" t="str">
        <x:v>0-1</x:v>
      </x:c>
      <x:c r="E24" s="31" t="n">
        <x:v>0.1</x:v>
      </x:c>
      <x:c r="F24" s="31" t="n">
        <x:v>0.8</x:v>
      </x:c>
      <x:c r="G24" s="12" t="str"/>
    </x:row>
    <x:row r="25">
      <x:c r="A25" s="12" t="str">
        <x:v>Code Mentor Benchmark</x:v>
      </x:c>
      <x:c r="B25" s="12" t="str">
        <x:v>pedagogical_value_score</x:v>
      </x:c>
      <x:c r="C25" s="12" t="str">
        <x:v>Gia tri huong dan hoc tap cho sinh vien</x:v>
      </x:c>
      <x:c r="D25" s="12" t="str">
        <x:v>0-1</x:v>
      </x:c>
      <x:c r="E25" s="31" t="n">
        <x:v>0.1</x:v>
      </x:c>
      <x:c r="F25" s="31" t="n">
        <x:v>0.75</x:v>
      </x:c>
      <x:c r="G25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</x:cols>
  <x:sheetData>
    <x:row r="1">
      <x:c r="A1" s="37" t="str">
        <x:v>All Models</x:v>
      </x:c>
      <x:c r="B1" s="37" t="str">
        <x:v>Tagging Models</x:v>
      </x:c>
      <x:c r="C1" s="37" t="str">
        <x:v>Question Types</x:v>
      </x:c>
      <x:c r="D1" s="37" t="str">
        <x:v>Difficulties</x:v>
      </x:c>
    </x:row>
    <x:row r="2">
      <x:c r="A2" s="12" t="str">
        <x:v>GPT 4o</x:v>
      </x:c>
      <x:c r="B2" s="12" t="str">
        <x:v>GPT 4o</x:v>
      </x:c>
      <x:c r="C2" s="12" t="str">
        <x:v>FE</x:v>
      </x:c>
      <x:c r="D2" s="12" t="str">
        <x:v>Easy</x:v>
      </x:c>
    </x:row>
    <x:row r="3">
      <x:c r="A3" s="12" t="str">
        <x:v>GPT 4o mini</x:v>
      </x:c>
      <x:c r="B3" s="12" t="str">
        <x:v>GPT 4o mini</x:v>
      </x:c>
      <x:c r="C3" s="12" t="str">
        <x:v>PE</x:v>
      </x:c>
      <x:c r="D3" s="12" t="str">
        <x:v>Medium</x:v>
      </x:c>
    </x:row>
    <x:row r="4">
      <x:c r="A4" s="12" t="str">
        <x:v>GPT 5.4</x:v>
      </x:c>
      <x:c r="B4" s="12" t="str">
        <x:v>GPT 5.4 mini</x:v>
      </x:c>
      <x:c r="C4" s="12" t="str"/>
      <x:c r="D4" s="12" t="str">
        <x:v>Hard</x:v>
      </x:c>
    </x:row>
    <x:row r="5">
      <x:c r="A5" s="12" t="str">
        <x:v>GPT 5.4 mini</x:v>
      </x:c>
      <x:c r="B5" s="12" t="str">
        <x:v>Gemini 2.5</x:v>
      </x:c>
      <x:c r="C5" s="12" t="str"/>
      <x:c r="D5" s="12" t="str"/>
    </x:row>
    <x:row r="6">
      <x:c r="A6" s="12" t="str">
        <x:v>GPT 5.5</x:v>
      </x:c>
      <x:c r="B6" s="12" t="str">
        <x:v>Gemini 2.5 Flash</x:v>
      </x:c>
      <x:c r="C6" s="12" t="str"/>
      <x:c r="D6" s="12" t="str"/>
    </x:row>
    <x:row r="7">
      <x:c r="A7" s="12" t="str">
        <x:v>Gemini 2.5</x:v>
      </x:c>
      <x:c r="B7" s="12" t="str">
        <x:v>Gemini 2.5 Pro</x:v>
      </x:c>
      <x:c r="C7" s="12" t="str"/>
      <x:c r="D7" s="12" t="str"/>
    </x:row>
    <x:row r="8">
      <x:c r="A8" s="12" t="str">
        <x:v>Gemini 2.5 Flash</x:v>
      </x:c>
      <x:c r="B8" s="12" t="str">
        <x:v>Gemini 3.1 Flash Lite</x:v>
      </x:c>
      <x:c r="C8" s="12" t="str"/>
      <x:c r="D8" s="12" t="str"/>
    </x:row>
    <x:row r="9">
      <x:c r="A9" s="12" t="str">
        <x:v>Gemini 2.5 Pro</x:v>
      </x:c>
      <x:c r="B9" s="12" t="str">
        <x:v>Gemini 3.5 Flash</x:v>
      </x:c>
      <x:c r="C9" s="12" t="str"/>
      <x:c r="D9" s="12" t="str"/>
    </x:row>
    <x:row r="10">
      <x:c r="A10" s="12" t="str">
        <x:v>Gemini 3.1 Flash Lite</x:v>
      </x:c>
      <x:c r="B10" s="12" t="str"/>
      <x:c r="C10" s="12" t="str"/>
      <x:c r="D10" s="12" t="str"/>
    </x:row>
    <x:row r="11">
      <x:c r="A11" s="12" t="str">
        <x:v>Gemini 3.5 Flash</x:v>
      </x:c>
      <x:c r="B11" s="12" t="str"/>
      <x:c r="C11" s="12" t="str"/>
      <x:c r="D11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4" hidden="0" customWidth="1"/>
    <x:col min="15" max="15" width="12" hidden="0" customWidth="1"/>
    <x:col min="16" max="16" width="16" hidden="0" customWidth="1"/>
    <x:col min="17" max="17" width="14" hidden="0" customWidth="1"/>
    <x:col min="18" max="18" width="36" hidden="0" customWidth="1"/>
    <x:col min="19" max="19" width="14" hidden="0" customWidth="1"/>
  </x:cols>
  <x:sheetData>
    <x:row r="1">
      <x:c r="A1" s="10" t="str">
        <x:v>test_id</x:v>
      </x:c>
      <x:c r="B1" s="10" t="str">
        <x:v>doc_case</x:v>
      </x:c>
      <x:c r="C1" s="10" t="str">
        <x:v>doc_type</x:v>
      </x:c>
      <x:c r="D1" s="10" t="str">
        <x:v>extraction_model</x:v>
      </x:c>
      <x:c r="E1" s="10" t="str">
        <x:v>tagging_model</x:v>
      </x:c>
      <x:c r="F1" s="10" t="str">
        <x:v>embedding_model</x:v>
      </x:c>
      <x:c r="G1" s="10" t="str">
        <x:v>ocr_text_accuracy_score</x:v>
      </x:c>
      <x:c r="H1" s="10" t="str">
        <x:v>content_cleanliness_score</x:v>
      </x:c>
      <x:c r="I1" s="10" t="str">
        <x:v>chunk_boundary_score</x:v>
      </x:c>
      <x:c r="J1" s="10" t="str">
        <x:v>tag_relevance_score</x:v>
      </x:c>
      <x:c r="K1" s="10" t="str">
        <x:v>tag_coverage_score</x:v>
      </x:c>
      <x:c r="L1" s="10" t="str">
        <x:v>image_description_quality_score</x:v>
      </x:c>
      <x:c r="M1" s="10" t="str">
        <x:v>grounding_traceability_score</x:v>
      </x:c>
      <x:c r="N1" s="10" t="str">
        <x:v>overall_quality_score</x:v>
      </x:c>
      <x:c r="O1" s="10" t="str">
        <x:v>pass_fail</x:v>
      </x:c>
      <x:c r="P1" s="10" t="str">
        <x:v>tester</x:v>
      </x:c>
      <x:c r="Q1" s="10" t="str">
        <x:v>test_date</x:v>
      </x:c>
      <x:c r="R1" s="10" t="str">
        <x:v>notes</x:v>
      </x:c>
      <x:c r="S1" s="10" t="str">
        <x:v>priority_review</x:v>
      </x:c>
    </x:row>
    <x:row r="2">
      <x:c r="A2" s="12" t="str">
        <x:v>EXT-001</x:v>
      </x:c>
      <x:c r="B2" s="12" t="str"/>
      <x:c r="C2" s="12" t="str"/>
      <x:c r="D2" s="12" t="str">
        <x:v>GPT 4o</x:v>
      </x:c>
      <x:c r="E2" s="12" t="str">
        <x:v>GPT 4o</x:v>
      </x:c>
      <x:c r="F2" s="12" t="str">
        <x:v>Cohere Multilingual v3.0</x:v>
      </x:c>
      <x:c r="G2" s="31" t="str"/>
      <x:c r="H2" s="31" t="str"/>
      <x:c r="I2" s="31" t="str"/>
      <x:c r="J2" s="31" t="str"/>
      <x:c r="K2" s="31" t="str"/>
      <x:c r="L2" s="31" t="str"/>
      <x:c r="M2" s="31" t="str"/>
      <x:c r="N2" s="39" t="n">
        <x:f>IF(COUNTA(G2:M2)=0,"",ROUND(G2*'Scoring Dictionary'!$E$2+H2*'Scoring Dictionary'!$E$3+I2*'Scoring Dictionary'!$E$4+J2*'Scoring Dictionary'!$E$5+K2*'Scoring Dictionary'!$E$6+L2*'Scoring Dictionary'!$E$7+M2*'Scoring Dictionary'!$E$8,3))</x:f>
        <x:v>0</x:v>
      </x:c>
      <x:c r="O2" s="12" t="str">
        <x:f>IF(N2="","",IF(AND(N2&gt;=0.8,G2&gt;='Scoring Dictionary'!$F$2,I2&gt;='Scoring Dictionary'!$F$4,J2&gt;='Scoring Dictionary'!$F$5),"PASS","FAIL"))</x:f>
      </x:c>
      <x:c r="P2" s="12" t="str"/>
      <x:c r="Q2" s="38" t="str"/>
      <x:c r="R2" s="12" t="str"/>
      <x:c r="S2" s="12" t="str"/>
    </x:row>
    <x:row r="3">
      <x:c r="A3" s="12" t="str">
        <x:v>EXT-002</x:v>
      </x:c>
      <x:c r="B3" s="12" t="str"/>
      <x:c r="C3" s="12" t="str"/>
      <x:c r="D3" s="12" t="str">
        <x:v>GPT 4o</x:v>
      </x:c>
      <x:c r="E3" s="12" t="str">
        <x:v>GPT 4o mini</x:v>
      </x:c>
      <x:c r="F3" s="12" t="str">
        <x:v>Cohere Multilingual v3.0</x:v>
      </x:c>
      <x:c r="G3" s="31" t="str"/>
      <x:c r="H3" s="31" t="str"/>
      <x:c r="I3" s="31" t="str"/>
      <x:c r="J3" s="31" t="str"/>
      <x:c r="K3" s="31" t="str"/>
      <x:c r="L3" s="31" t="str"/>
      <x:c r="M3" s="31" t="str"/>
      <x:c r="N3" s="39" t="n">
        <x:f>IF(COUNTA(G3:M3)=0,"",ROUND(G3*'Scoring Dictionary'!$E$2+H3*'Scoring Dictionary'!$E$3+I3*'Scoring Dictionary'!$E$4+J3*'Scoring Dictionary'!$E$5+K3*'Scoring Dictionary'!$E$6+L3*'Scoring Dictionary'!$E$7+M3*'Scoring Dictionary'!$E$8,3))</x:f>
        <x:v>0</x:v>
      </x:c>
      <x:c r="O3" s="12" t="str">
        <x:f>IF(N3="","",IF(AND(N3&gt;=0.8,G3&gt;='Scoring Dictionary'!$F$2,I3&gt;='Scoring Dictionary'!$F$4,J3&gt;='Scoring Dictionary'!$F$5),"PASS","FAIL"))</x:f>
      </x:c>
      <x:c r="P3" s="12" t="str"/>
      <x:c r="Q3" s="38" t="str"/>
      <x:c r="R3" s="12" t="str"/>
      <x:c r="S3" s="12" t="str"/>
    </x:row>
    <x:row r="4">
      <x:c r="A4" s="12" t="str">
        <x:v>EXT-003</x:v>
      </x:c>
      <x:c r="B4" s="12" t="str"/>
      <x:c r="C4" s="12" t="str"/>
      <x:c r="D4" s="12" t="str">
        <x:v>GPT 4o</x:v>
      </x:c>
      <x:c r="E4" s="12" t="str">
        <x:v>GPT 5.4 mini</x:v>
      </x:c>
      <x:c r="F4" s="12" t="str">
        <x:v>Cohere Multilingual v3.0</x:v>
      </x:c>
      <x:c r="G4" s="31" t="str"/>
      <x:c r="H4" s="31" t="str"/>
      <x:c r="I4" s="31" t="str"/>
      <x:c r="J4" s="31" t="str"/>
      <x:c r="K4" s="31" t="str"/>
      <x:c r="L4" s="31" t="str"/>
      <x:c r="M4" s="31" t="str"/>
      <x:c r="N4" s="39" t="n">
        <x:f>IF(COUNTA(G4:M4)=0,"",ROUND(G4*'Scoring Dictionary'!$E$2+H4*'Scoring Dictionary'!$E$3+I4*'Scoring Dictionary'!$E$4+J4*'Scoring Dictionary'!$E$5+K4*'Scoring Dictionary'!$E$6+L4*'Scoring Dictionary'!$E$7+M4*'Scoring Dictionary'!$E$8,3))</x:f>
        <x:v>0</x:v>
      </x:c>
      <x:c r="O4" s="12" t="str">
        <x:f>IF(N4="","",IF(AND(N4&gt;=0.8,G4&gt;='Scoring Dictionary'!$F$2,I4&gt;='Scoring Dictionary'!$F$4,J4&gt;='Scoring Dictionary'!$F$5),"PASS","FAIL"))</x:f>
      </x:c>
      <x:c r="P4" s="12" t="str"/>
      <x:c r="Q4" s="38" t="str"/>
      <x:c r="R4" s="12" t="str"/>
      <x:c r="S4" s="12" t="str"/>
    </x:row>
    <x:row r="5">
      <x:c r="A5" s="12" t="str">
        <x:v>EXT-004</x:v>
      </x:c>
      <x:c r="B5" s="12" t="str"/>
      <x:c r="C5" s="12" t="str"/>
      <x:c r="D5" s="12" t="str">
        <x:v>GPT 4o</x:v>
      </x:c>
      <x:c r="E5" s="12" t="str">
        <x:v>Gemini 2.5</x:v>
      </x:c>
      <x:c r="F5" s="12" t="str">
        <x:v>Cohere Multilingual v3.0</x:v>
      </x:c>
      <x:c r="G5" s="31" t="str"/>
      <x:c r="H5" s="31" t="str"/>
      <x:c r="I5" s="31" t="str"/>
      <x:c r="J5" s="31" t="str"/>
      <x:c r="K5" s="31" t="str"/>
      <x:c r="L5" s="31" t="str"/>
      <x:c r="M5" s="31" t="str"/>
      <x:c r="N5" s="39" t="n">
        <x:f>IF(COUNTA(G5:M5)=0,"",ROUND(G5*'Scoring Dictionary'!$E$2+H5*'Scoring Dictionary'!$E$3+I5*'Scoring Dictionary'!$E$4+J5*'Scoring Dictionary'!$E$5+K5*'Scoring Dictionary'!$E$6+L5*'Scoring Dictionary'!$E$7+M5*'Scoring Dictionary'!$E$8,3))</x:f>
        <x:v>0</x:v>
      </x:c>
      <x:c r="O5" s="12" t="str">
        <x:f>IF(N5="","",IF(AND(N5&gt;=0.8,G5&gt;='Scoring Dictionary'!$F$2,I5&gt;='Scoring Dictionary'!$F$4,J5&gt;='Scoring Dictionary'!$F$5),"PASS","FAIL"))</x:f>
      </x:c>
      <x:c r="P5" s="12" t="str"/>
      <x:c r="Q5" s="38" t="str"/>
      <x:c r="R5" s="12" t="str"/>
      <x:c r="S5" s="12" t="str"/>
    </x:row>
    <x:row r="6">
      <x:c r="A6" s="12" t="str">
        <x:v>EXT-005</x:v>
      </x:c>
      <x:c r="B6" s="12" t="str"/>
      <x:c r="C6" s="12" t="str"/>
      <x:c r="D6" s="12" t="str">
        <x:v>GPT 4o</x:v>
      </x:c>
      <x:c r="E6" s="12" t="str">
        <x:v>Gemini 2.5 Flash</x:v>
      </x:c>
      <x:c r="F6" s="12" t="str">
        <x:v>Cohere Multilingual v3.0</x:v>
      </x:c>
      <x:c r="G6" s="31" t="str"/>
      <x:c r="H6" s="31" t="str"/>
      <x:c r="I6" s="31" t="str"/>
      <x:c r="J6" s="31" t="str"/>
      <x:c r="K6" s="31" t="str"/>
      <x:c r="L6" s="31" t="str"/>
      <x:c r="M6" s="31" t="str"/>
      <x:c r="N6" s="39" t="n">
        <x:f>IF(COUNTA(G6:M6)=0,"",ROUND(G6*'Scoring Dictionary'!$E$2+H6*'Scoring Dictionary'!$E$3+I6*'Scoring Dictionary'!$E$4+J6*'Scoring Dictionary'!$E$5+K6*'Scoring Dictionary'!$E$6+L6*'Scoring Dictionary'!$E$7+M6*'Scoring Dictionary'!$E$8,3))</x:f>
        <x:v>0</x:v>
      </x:c>
      <x:c r="O6" s="12" t="str">
        <x:f>IF(N6="","",IF(AND(N6&gt;=0.8,G6&gt;='Scoring Dictionary'!$F$2,I6&gt;='Scoring Dictionary'!$F$4,J6&gt;='Scoring Dictionary'!$F$5),"PASS","FAIL"))</x:f>
      </x:c>
      <x:c r="P6" s="12" t="str"/>
      <x:c r="Q6" s="38" t="str"/>
      <x:c r="R6" s="12" t="str"/>
      <x:c r="S6" s="12" t="str"/>
    </x:row>
    <x:row r="7">
      <x:c r="A7" s="12" t="str">
        <x:v>EXT-006</x:v>
      </x:c>
      <x:c r="B7" s="12" t="str"/>
      <x:c r="C7" s="12" t="str"/>
      <x:c r="D7" s="12" t="str">
        <x:v>GPT 4o</x:v>
      </x:c>
      <x:c r="E7" s="12" t="str">
        <x:v>Gemini 2.5 Pro</x:v>
      </x:c>
      <x:c r="F7" s="12" t="str">
        <x:v>Cohere Multilingual v3.0</x:v>
      </x:c>
      <x:c r="G7" s="31" t="str"/>
      <x:c r="H7" s="31" t="str"/>
      <x:c r="I7" s="31" t="str"/>
      <x:c r="J7" s="31" t="str"/>
      <x:c r="K7" s="31" t="str"/>
      <x:c r="L7" s="31" t="str"/>
      <x:c r="M7" s="31" t="str"/>
      <x:c r="N7" s="39" t="n">
        <x:f>IF(COUNTA(G7:M7)=0,"",ROUND(G7*'Scoring Dictionary'!$E$2+H7*'Scoring Dictionary'!$E$3+I7*'Scoring Dictionary'!$E$4+J7*'Scoring Dictionary'!$E$5+K7*'Scoring Dictionary'!$E$6+L7*'Scoring Dictionary'!$E$7+M7*'Scoring Dictionary'!$E$8,3))</x:f>
        <x:v>0</x:v>
      </x:c>
      <x:c r="O7" s="12" t="str">
        <x:f>IF(N7="","",IF(AND(N7&gt;=0.8,G7&gt;='Scoring Dictionary'!$F$2,I7&gt;='Scoring Dictionary'!$F$4,J7&gt;='Scoring Dictionary'!$F$5),"PASS","FAIL"))</x:f>
      </x:c>
      <x:c r="P7" s="12" t="str"/>
      <x:c r="Q7" s="38" t="str"/>
      <x:c r="R7" s="12" t="str"/>
      <x:c r="S7" s="12" t="str"/>
    </x:row>
    <x:row r="8">
      <x:c r="A8" s="12" t="str">
        <x:v>EXT-007</x:v>
      </x:c>
      <x:c r="B8" s="12" t="str"/>
      <x:c r="C8" s="12" t="str"/>
      <x:c r="D8" s="12" t="str">
        <x:v>GPT 4o</x:v>
      </x:c>
      <x:c r="E8" s="12" t="str">
        <x:v>Gemini 3.1 Flash Lite</x:v>
      </x:c>
      <x:c r="F8" s="12" t="str">
        <x:v>Cohere Multilingual v3.0</x:v>
      </x:c>
      <x:c r="G8" s="31" t="str"/>
      <x:c r="H8" s="31" t="str"/>
      <x:c r="I8" s="31" t="str"/>
      <x:c r="J8" s="31" t="str"/>
      <x:c r="K8" s="31" t="str"/>
      <x:c r="L8" s="31" t="str"/>
      <x:c r="M8" s="31" t="str"/>
      <x:c r="N8" s="39" t="n">
        <x:f>IF(COUNTA(G8:M8)=0,"",ROUND(G8*'Scoring Dictionary'!$E$2+H8*'Scoring Dictionary'!$E$3+I8*'Scoring Dictionary'!$E$4+J8*'Scoring Dictionary'!$E$5+K8*'Scoring Dictionary'!$E$6+L8*'Scoring Dictionary'!$E$7+M8*'Scoring Dictionary'!$E$8,3))</x:f>
        <x:v>0</x:v>
      </x:c>
      <x:c r="O8" s="12" t="str">
        <x:f>IF(N8="","",IF(AND(N8&gt;=0.8,G8&gt;='Scoring Dictionary'!$F$2,I8&gt;='Scoring Dictionary'!$F$4,J8&gt;='Scoring Dictionary'!$F$5),"PASS","FAIL"))</x:f>
      </x:c>
      <x:c r="P8" s="12" t="str"/>
      <x:c r="Q8" s="38" t="str"/>
      <x:c r="R8" s="12" t="str"/>
      <x:c r="S8" s="12" t="str"/>
    </x:row>
    <x:row r="9">
      <x:c r="A9" s="12" t="str">
        <x:v>EXT-008</x:v>
      </x:c>
      <x:c r="B9" s="12" t="str"/>
      <x:c r="C9" s="12" t="str"/>
      <x:c r="D9" s="12" t="str">
        <x:v>GPT 4o</x:v>
      </x:c>
      <x:c r="E9" s="12" t="str">
        <x:v>Gemini 3.5 Flash</x:v>
      </x:c>
      <x:c r="F9" s="12" t="str">
        <x:v>Cohere Multilingual v3.0</x:v>
      </x:c>
      <x:c r="G9" s="31" t="str"/>
      <x:c r="H9" s="31" t="str"/>
      <x:c r="I9" s="31" t="str"/>
      <x:c r="J9" s="31" t="str"/>
      <x:c r="K9" s="31" t="str"/>
      <x:c r="L9" s="31" t="str"/>
      <x:c r="M9" s="31" t="str"/>
      <x:c r="N9" s="39" t="n">
        <x:f>IF(COUNTA(G9:M9)=0,"",ROUND(G9*'Scoring Dictionary'!$E$2+H9*'Scoring Dictionary'!$E$3+I9*'Scoring Dictionary'!$E$4+J9*'Scoring Dictionary'!$E$5+K9*'Scoring Dictionary'!$E$6+L9*'Scoring Dictionary'!$E$7+M9*'Scoring Dictionary'!$E$8,3))</x:f>
        <x:v>0</x:v>
      </x:c>
      <x:c r="O9" s="12" t="str">
        <x:f>IF(N9="","",IF(AND(N9&gt;=0.8,G9&gt;='Scoring Dictionary'!$F$2,I9&gt;='Scoring Dictionary'!$F$4,J9&gt;='Scoring Dictionary'!$F$5),"PASS","FAIL"))</x:f>
      </x:c>
      <x:c r="P9" s="12" t="str"/>
      <x:c r="Q9" s="38" t="str"/>
      <x:c r="R9" s="12" t="str"/>
      <x:c r="S9" s="12" t="str"/>
    </x:row>
    <x:row r="10">
      <x:c r="A10" s="12" t="str">
        <x:v>EXT-009</x:v>
      </x:c>
      <x:c r="B10" s="12" t="str"/>
      <x:c r="C10" s="12" t="str"/>
      <x:c r="D10" s="12" t="str">
        <x:v>GPT 4o mini</x:v>
      </x:c>
      <x:c r="E10" s="12" t="str">
        <x:v>GPT 4o</x:v>
      </x:c>
      <x:c r="F10" s="12" t="str">
        <x:v>Cohere Multilingual v3.0</x:v>
      </x:c>
      <x:c r="G10" s="31" t="str"/>
      <x:c r="H10" s="31" t="str"/>
      <x:c r="I10" s="31" t="str"/>
      <x:c r="J10" s="31" t="str"/>
      <x:c r="K10" s="31" t="str"/>
      <x:c r="L10" s="31" t="str"/>
      <x:c r="M10" s="31" t="str"/>
      <x:c r="N10" s="39" t="n">
        <x:f>IF(COUNTA(G10:M10)=0,"",ROUND(G10*'Scoring Dictionary'!$E$2+H10*'Scoring Dictionary'!$E$3+I10*'Scoring Dictionary'!$E$4+J10*'Scoring Dictionary'!$E$5+K10*'Scoring Dictionary'!$E$6+L10*'Scoring Dictionary'!$E$7+M10*'Scoring Dictionary'!$E$8,3))</x:f>
        <x:v>0</x:v>
      </x:c>
      <x:c r="O10" s="12" t="str">
        <x:f>IF(N10="","",IF(AND(N10&gt;=0.8,G10&gt;='Scoring Dictionary'!$F$2,I10&gt;='Scoring Dictionary'!$F$4,J10&gt;='Scoring Dictionary'!$F$5),"PASS","FAIL"))</x:f>
      </x:c>
      <x:c r="P10" s="12" t="str"/>
      <x:c r="Q10" s="38" t="str"/>
      <x:c r="R10" s="12" t="str"/>
      <x:c r="S10" s="12" t="str"/>
    </x:row>
    <x:row r="11">
      <x:c r="A11" s="12" t="str">
        <x:v>EXT-010</x:v>
      </x:c>
      <x:c r="B11" s="12" t="str"/>
      <x:c r="C11" s="12" t="str"/>
      <x:c r="D11" s="12" t="str">
        <x:v>GPT 4o mini</x:v>
      </x:c>
      <x:c r="E11" s="12" t="str">
        <x:v>GPT 4o mini</x:v>
      </x:c>
      <x:c r="F11" s="12" t="str">
        <x:v>Cohere Multilingual v3.0</x:v>
      </x:c>
      <x:c r="G11" s="31" t="str"/>
      <x:c r="H11" s="31" t="str"/>
      <x:c r="I11" s="31" t="str"/>
      <x:c r="J11" s="31" t="str"/>
      <x:c r="K11" s="31" t="str"/>
      <x:c r="L11" s="31" t="str"/>
      <x:c r="M11" s="31" t="str"/>
      <x:c r="N11" s="39" t="n">
        <x:f>IF(COUNTA(G11:M11)=0,"",ROUND(G11*'Scoring Dictionary'!$E$2+H11*'Scoring Dictionary'!$E$3+I11*'Scoring Dictionary'!$E$4+J11*'Scoring Dictionary'!$E$5+K11*'Scoring Dictionary'!$E$6+L11*'Scoring Dictionary'!$E$7+M11*'Scoring Dictionary'!$E$8,3))</x:f>
        <x:v>0</x:v>
      </x:c>
      <x:c r="O11" s="12" t="str">
        <x:f>IF(N11="","",IF(AND(N11&gt;=0.8,G11&gt;='Scoring Dictionary'!$F$2,I11&gt;='Scoring Dictionary'!$F$4,J11&gt;='Scoring Dictionary'!$F$5),"PASS","FAIL"))</x:f>
      </x:c>
      <x:c r="P11" s="12" t="str"/>
      <x:c r="Q11" s="38" t="str"/>
      <x:c r="R11" s="12" t="str"/>
      <x:c r="S11" s="12" t="str"/>
    </x:row>
    <x:row r="12">
      <x:c r="A12" s="12" t="str">
        <x:v>EXT-011</x:v>
      </x:c>
      <x:c r="B12" s="12" t="str"/>
      <x:c r="C12" s="12" t="str"/>
      <x:c r="D12" s="12" t="str">
        <x:v>GPT 4o mini</x:v>
      </x:c>
      <x:c r="E12" s="12" t="str">
        <x:v>GPT 5.4 mini</x:v>
      </x:c>
      <x:c r="F12" s="12" t="str">
        <x:v>Cohere Multilingual v3.0</x:v>
      </x:c>
      <x:c r="G12" s="31" t="str"/>
      <x:c r="H12" s="31" t="str"/>
      <x:c r="I12" s="31" t="str"/>
      <x:c r="J12" s="31" t="str"/>
      <x:c r="K12" s="31" t="str"/>
      <x:c r="L12" s="31" t="str"/>
      <x:c r="M12" s="31" t="str"/>
      <x:c r="N12" s="39" t="n">
        <x:f>IF(COUNTA(G12:M12)=0,"",ROUND(G12*'Scoring Dictionary'!$E$2+H12*'Scoring Dictionary'!$E$3+I12*'Scoring Dictionary'!$E$4+J12*'Scoring Dictionary'!$E$5+K12*'Scoring Dictionary'!$E$6+L12*'Scoring Dictionary'!$E$7+M12*'Scoring Dictionary'!$E$8,3))</x:f>
        <x:v>0</x:v>
      </x:c>
      <x:c r="O12" s="12" t="str">
        <x:f>IF(N12="","",IF(AND(N12&gt;=0.8,G12&gt;='Scoring Dictionary'!$F$2,I12&gt;='Scoring Dictionary'!$F$4,J12&gt;='Scoring Dictionary'!$F$5),"PASS","FAIL"))</x:f>
      </x:c>
      <x:c r="P12" s="12" t="str"/>
      <x:c r="Q12" s="38" t="str"/>
      <x:c r="R12" s="12" t="str"/>
      <x:c r="S12" s="12" t="str"/>
    </x:row>
    <x:row r="13">
      <x:c r="A13" s="12" t="str">
        <x:v>EXT-012</x:v>
      </x:c>
      <x:c r="B13" s="12" t="str"/>
      <x:c r="C13" s="12" t="str"/>
      <x:c r="D13" s="12" t="str">
        <x:v>GPT 4o mini</x:v>
      </x:c>
      <x:c r="E13" s="12" t="str">
        <x:v>Gemini 2.5</x:v>
      </x:c>
      <x:c r="F13" s="12" t="str">
        <x:v>Cohere Multilingual v3.0</x:v>
      </x:c>
      <x:c r="G13" s="31" t="str"/>
      <x:c r="H13" s="31" t="str"/>
      <x:c r="I13" s="31" t="str"/>
      <x:c r="J13" s="31" t="str"/>
      <x:c r="K13" s="31" t="str"/>
      <x:c r="L13" s="31" t="str"/>
      <x:c r="M13" s="31" t="str"/>
      <x:c r="N13" s="39" t="n">
        <x:f>IF(COUNTA(G13:M13)=0,"",ROUND(G13*'Scoring Dictionary'!$E$2+H13*'Scoring Dictionary'!$E$3+I13*'Scoring Dictionary'!$E$4+J13*'Scoring Dictionary'!$E$5+K13*'Scoring Dictionary'!$E$6+L13*'Scoring Dictionary'!$E$7+M13*'Scoring Dictionary'!$E$8,3))</x:f>
        <x:v>0</x:v>
      </x:c>
      <x:c r="O13" s="12" t="str">
        <x:f>IF(N13="","",IF(AND(N13&gt;=0.8,G13&gt;='Scoring Dictionary'!$F$2,I13&gt;='Scoring Dictionary'!$F$4,J13&gt;='Scoring Dictionary'!$F$5),"PASS","FAIL"))</x:f>
      </x:c>
      <x:c r="P13" s="12" t="str"/>
      <x:c r="Q13" s="38" t="str"/>
      <x:c r="R13" s="12" t="str"/>
      <x:c r="S13" s="12" t="str"/>
    </x:row>
    <x:row r="14">
      <x:c r="A14" s="12" t="str">
        <x:v>EXT-013</x:v>
      </x:c>
      <x:c r="B14" s="12" t="str"/>
      <x:c r="C14" s="12" t="str"/>
      <x:c r="D14" s="12" t="str">
        <x:v>GPT 4o mini</x:v>
      </x:c>
      <x:c r="E14" s="12" t="str">
        <x:v>Gemini 2.5 Flash</x:v>
      </x:c>
      <x:c r="F14" s="12" t="str">
        <x:v>Cohere Multilingual v3.0</x:v>
      </x:c>
      <x:c r="G14" s="31" t="str"/>
      <x:c r="H14" s="31" t="str"/>
      <x:c r="I14" s="31" t="str"/>
      <x:c r="J14" s="31" t="str"/>
      <x:c r="K14" s="31" t="str"/>
      <x:c r="L14" s="31" t="str"/>
      <x:c r="M14" s="31" t="str"/>
      <x:c r="N14" s="39" t="n">
        <x:f>IF(COUNTA(G14:M14)=0,"",ROUND(G14*'Scoring Dictionary'!$E$2+H14*'Scoring Dictionary'!$E$3+I14*'Scoring Dictionary'!$E$4+J14*'Scoring Dictionary'!$E$5+K14*'Scoring Dictionary'!$E$6+L14*'Scoring Dictionary'!$E$7+M14*'Scoring Dictionary'!$E$8,3))</x:f>
        <x:v>0</x:v>
      </x:c>
      <x:c r="O14" s="12" t="str">
        <x:f>IF(N14="","",IF(AND(N14&gt;=0.8,G14&gt;='Scoring Dictionary'!$F$2,I14&gt;='Scoring Dictionary'!$F$4,J14&gt;='Scoring Dictionary'!$F$5),"PASS","FAIL"))</x:f>
      </x:c>
      <x:c r="P14" s="12" t="str"/>
      <x:c r="Q14" s="38" t="str"/>
      <x:c r="R14" s="12" t="str"/>
      <x:c r="S14" s="12" t="str"/>
    </x:row>
    <x:row r="15">
      <x:c r="A15" s="12" t="str">
        <x:v>EXT-014</x:v>
      </x:c>
      <x:c r="B15" s="12" t="str"/>
      <x:c r="C15" s="12" t="str"/>
      <x:c r="D15" s="12" t="str">
        <x:v>GPT 4o mini</x:v>
      </x:c>
      <x:c r="E15" s="12" t="str">
        <x:v>Gemini 2.5 Pro</x:v>
      </x:c>
      <x:c r="F15" s="12" t="str">
        <x:v>Cohere Multilingual v3.0</x:v>
      </x:c>
      <x:c r="G15" s="31" t="str"/>
      <x:c r="H15" s="31" t="str"/>
      <x:c r="I15" s="31" t="str"/>
      <x:c r="J15" s="31" t="str"/>
      <x:c r="K15" s="31" t="str"/>
      <x:c r="L15" s="31" t="str"/>
      <x:c r="M15" s="31" t="str"/>
      <x:c r="N15" s="39" t="n">
        <x:f>IF(COUNTA(G15:M15)=0,"",ROUND(G15*'Scoring Dictionary'!$E$2+H15*'Scoring Dictionary'!$E$3+I15*'Scoring Dictionary'!$E$4+J15*'Scoring Dictionary'!$E$5+K15*'Scoring Dictionary'!$E$6+L15*'Scoring Dictionary'!$E$7+M15*'Scoring Dictionary'!$E$8,3))</x:f>
        <x:v>0</x:v>
      </x:c>
      <x:c r="O15" s="12" t="str">
        <x:f>IF(N15="","",IF(AND(N15&gt;=0.8,G15&gt;='Scoring Dictionary'!$F$2,I15&gt;='Scoring Dictionary'!$F$4,J15&gt;='Scoring Dictionary'!$F$5),"PASS","FAIL"))</x:f>
      </x:c>
      <x:c r="P15" s="12" t="str"/>
      <x:c r="Q15" s="38" t="str"/>
      <x:c r="R15" s="12" t="str"/>
      <x:c r="S15" s="12" t="str"/>
    </x:row>
    <x:row r="16">
      <x:c r="A16" s="12" t="str">
        <x:v>EXT-015</x:v>
      </x:c>
      <x:c r="B16" s="12" t="str"/>
      <x:c r="C16" s="12" t="str"/>
      <x:c r="D16" s="12" t="str">
        <x:v>GPT 4o mini</x:v>
      </x:c>
      <x:c r="E16" s="12" t="str">
        <x:v>Gemini 3.1 Flash Lite</x:v>
      </x:c>
      <x:c r="F16" s="12" t="str">
        <x:v>Cohere Multilingual v3.0</x:v>
      </x:c>
      <x:c r="G16" s="31" t="str"/>
      <x:c r="H16" s="31" t="str"/>
      <x:c r="I16" s="31" t="str"/>
      <x:c r="J16" s="31" t="str"/>
      <x:c r="K16" s="31" t="str"/>
      <x:c r="L16" s="31" t="str"/>
      <x:c r="M16" s="31" t="str"/>
      <x:c r="N16" s="39" t="n">
        <x:f>IF(COUNTA(G16:M16)=0,"",ROUND(G16*'Scoring Dictionary'!$E$2+H16*'Scoring Dictionary'!$E$3+I16*'Scoring Dictionary'!$E$4+J16*'Scoring Dictionary'!$E$5+K16*'Scoring Dictionary'!$E$6+L16*'Scoring Dictionary'!$E$7+M16*'Scoring Dictionary'!$E$8,3))</x:f>
        <x:v>0</x:v>
      </x:c>
      <x:c r="O16" s="12" t="str">
        <x:f>IF(N16="","",IF(AND(N16&gt;=0.8,G16&gt;='Scoring Dictionary'!$F$2,I16&gt;='Scoring Dictionary'!$F$4,J16&gt;='Scoring Dictionary'!$F$5),"PASS","FAIL"))</x:f>
      </x:c>
      <x:c r="P16" s="12" t="str"/>
      <x:c r="Q16" s="38" t="str"/>
      <x:c r="R16" s="12" t="str"/>
      <x:c r="S16" s="12" t="str"/>
    </x:row>
    <x:row r="17">
      <x:c r="A17" s="12" t="str">
        <x:v>EXT-016</x:v>
      </x:c>
      <x:c r="B17" s="12" t="str"/>
      <x:c r="C17" s="12" t="str"/>
      <x:c r="D17" s="12" t="str">
        <x:v>GPT 4o mini</x:v>
      </x:c>
      <x:c r="E17" s="12" t="str">
        <x:v>Gemini 3.5 Flash</x:v>
      </x:c>
      <x:c r="F17" s="12" t="str">
        <x:v>Cohere Multilingual v3.0</x:v>
      </x:c>
      <x:c r="G17" s="31" t="str"/>
      <x:c r="H17" s="31" t="str"/>
      <x:c r="I17" s="31" t="str"/>
      <x:c r="J17" s="31" t="str"/>
      <x:c r="K17" s="31" t="str"/>
      <x:c r="L17" s="31" t="str"/>
      <x:c r="M17" s="31" t="str"/>
      <x:c r="N17" s="39" t="n">
        <x:f>IF(COUNTA(G17:M17)=0,"",ROUND(G17*'Scoring Dictionary'!$E$2+H17*'Scoring Dictionary'!$E$3+I17*'Scoring Dictionary'!$E$4+J17*'Scoring Dictionary'!$E$5+K17*'Scoring Dictionary'!$E$6+L17*'Scoring Dictionary'!$E$7+M17*'Scoring Dictionary'!$E$8,3))</x:f>
        <x:v>0</x:v>
      </x:c>
      <x:c r="O17" s="12" t="str">
        <x:f>IF(N17="","",IF(AND(N17&gt;=0.8,G17&gt;='Scoring Dictionary'!$F$2,I17&gt;='Scoring Dictionary'!$F$4,J17&gt;='Scoring Dictionary'!$F$5),"PASS","FAIL"))</x:f>
      </x:c>
      <x:c r="P17" s="12" t="str"/>
      <x:c r="Q17" s="38" t="str"/>
      <x:c r="R17" s="12" t="str"/>
      <x:c r="S17" s="12" t="str"/>
    </x:row>
    <x:row r="18">
      <x:c r="A18" s="12" t="str">
        <x:v>EXT-017</x:v>
      </x:c>
      <x:c r="B18" s="12" t="str"/>
      <x:c r="C18" s="12" t="str"/>
      <x:c r="D18" s="12" t="str">
        <x:v>GPT 5.4</x:v>
      </x:c>
      <x:c r="E18" s="12" t="str">
        <x:v>GPT 4o</x:v>
      </x:c>
      <x:c r="F18" s="12" t="str">
        <x:v>Cohere Multilingual v3.0</x:v>
      </x:c>
      <x:c r="G18" s="31" t="str"/>
      <x:c r="H18" s="31" t="str"/>
      <x:c r="I18" s="31" t="str"/>
      <x:c r="J18" s="31" t="str"/>
      <x:c r="K18" s="31" t="str"/>
      <x:c r="L18" s="31" t="str"/>
      <x:c r="M18" s="31" t="str"/>
      <x:c r="N18" s="39" t="n">
        <x:f>IF(COUNTA(G18:M18)=0,"",ROUND(G18*'Scoring Dictionary'!$E$2+H18*'Scoring Dictionary'!$E$3+I18*'Scoring Dictionary'!$E$4+J18*'Scoring Dictionary'!$E$5+K18*'Scoring Dictionary'!$E$6+L18*'Scoring Dictionary'!$E$7+M18*'Scoring Dictionary'!$E$8,3))</x:f>
        <x:v>0</x:v>
      </x:c>
      <x:c r="O18" s="12" t="str">
        <x:f>IF(N18="","",IF(AND(N18&gt;=0.8,G18&gt;='Scoring Dictionary'!$F$2,I18&gt;='Scoring Dictionary'!$F$4,J18&gt;='Scoring Dictionary'!$F$5),"PASS","FAIL"))</x:f>
      </x:c>
      <x:c r="P18" s="12" t="str"/>
      <x:c r="Q18" s="38" t="str"/>
      <x:c r="R18" s="12" t="str"/>
      <x:c r="S18" s="12" t="str"/>
    </x:row>
    <x:row r="19">
      <x:c r="A19" s="12" t="str">
        <x:v>EXT-018</x:v>
      </x:c>
      <x:c r="B19" s="12" t="str"/>
      <x:c r="C19" s="12" t="str"/>
      <x:c r="D19" s="12" t="str">
        <x:v>GPT 5.4</x:v>
      </x:c>
      <x:c r="E19" s="12" t="str">
        <x:v>GPT 4o mini</x:v>
      </x:c>
      <x:c r="F19" s="12" t="str">
        <x:v>Cohere Multilingual v3.0</x:v>
      </x:c>
      <x:c r="G19" s="31" t="str"/>
      <x:c r="H19" s="31" t="str"/>
      <x:c r="I19" s="31" t="str"/>
      <x:c r="J19" s="31" t="str"/>
      <x:c r="K19" s="31" t="str"/>
      <x:c r="L19" s="31" t="str"/>
      <x:c r="M19" s="31" t="str"/>
      <x:c r="N19" s="39" t="n">
        <x:f>IF(COUNTA(G19:M19)=0,"",ROUND(G19*'Scoring Dictionary'!$E$2+H19*'Scoring Dictionary'!$E$3+I19*'Scoring Dictionary'!$E$4+J19*'Scoring Dictionary'!$E$5+K19*'Scoring Dictionary'!$E$6+L19*'Scoring Dictionary'!$E$7+M19*'Scoring Dictionary'!$E$8,3))</x:f>
        <x:v>0</x:v>
      </x:c>
      <x:c r="O19" s="12" t="str">
        <x:f>IF(N19="","",IF(AND(N19&gt;=0.8,G19&gt;='Scoring Dictionary'!$F$2,I19&gt;='Scoring Dictionary'!$F$4,J19&gt;='Scoring Dictionary'!$F$5),"PASS","FAIL"))</x:f>
      </x:c>
      <x:c r="P19" s="12" t="str"/>
      <x:c r="Q19" s="38" t="str"/>
      <x:c r="R19" s="12" t="str"/>
      <x:c r="S19" s="12" t="str"/>
    </x:row>
    <x:row r="20">
      <x:c r="A20" s="12" t="str">
        <x:v>EXT-019</x:v>
      </x:c>
      <x:c r="B20" s="12" t="str"/>
      <x:c r="C20" s="12" t="str"/>
      <x:c r="D20" s="12" t="str">
        <x:v>GPT 5.4</x:v>
      </x:c>
      <x:c r="E20" s="12" t="str">
        <x:v>GPT 5.4 mini</x:v>
      </x:c>
      <x:c r="F20" s="12" t="str">
        <x:v>Cohere Multilingual v3.0</x:v>
      </x:c>
      <x:c r="G20" s="31" t="str"/>
      <x:c r="H20" s="31" t="str"/>
      <x:c r="I20" s="31" t="str"/>
      <x:c r="J20" s="31" t="str"/>
      <x:c r="K20" s="31" t="str"/>
      <x:c r="L20" s="31" t="str"/>
      <x:c r="M20" s="31" t="str"/>
      <x:c r="N20" s="39" t="n">
        <x:f>IF(COUNTA(G20:M20)=0,"",ROUND(G20*'Scoring Dictionary'!$E$2+H20*'Scoring Dictionary'!$E$3+I20*'Scoring Dictionary'!$E$4+J20*'Scoring Dictionary'!$E$5+K20*'Scoring Dictionary'!$E$6+L20*'Scoring Dictionary'!$E$7+M20*'Scoring Dictionary'!$E$8,3))</x:f>
        <x:v>0</x:v>
      </x:c>
      <x:c r="O20" s="12" t="str">
        <x:f>IF(N20="","",IF(AND(N20&gt;=0.8,G20&gt;='Scoring Dictionary'!$F$2,I20&gt;='Scoring Dictionary'!$F$4,J20&gt;='Scoring Dictionary'!$F$5),"PASS","FAIL"))</x:f>
      </x:c>
      <x:c r="P20" s="12" t="str"/>
      <x:c r="Q20" s="38" t="str"/>
      <x:c r="R20" s="12" t="str"/>
      <x:c r="S20" s="12" t="str"/>
    </x:row>
    <x:row r="21">
      <x:c r="A21" s="12" t="str">
        <x:v>EXT-020</x:v>
      </x:c>
      <x:c r="B21" s="12" t="str"/>
      <x:c r="C21" s="12" t="str"/>
      <x:c r="D21" s="12" t="str">
        <x:v>GPT 5.4</x:v>
      </x:c>
      <x:c r="E21" s="12" t="str">
        <x:v>Gemini 2.5</x:v>
      </x:c>
      <x:c r="F21" s="12" t="str">
        <x:v>Cohere Multilingual v3.0</x:v>
      </x:c>
      <x:c r="G21" s="31" t="str"/>
      <x:c r="H21" s="31" t="str"/>
      <x:c r="I21" s="31" t="str"/>
      <x:c r="J21" s="31" t="str"/>
      <x:c r="K21" s="31" t="str"/>
      <x:c r="L21" s="31" t="str"/>
      <x:c r="M21" s="31" t="str"/>
      <x:c r="N21" s="39" t="n">
        <x:f>IF(COUNTA(G21:M21)=0,"",ROUND(G21*'Scoring Dictionary'!$E$2+H21*'Scoring Dictionary'!$E$3+I21*'Scoring Dictionary'!$E$4+J21*'Scoring Dictionary'!$E$5+K21*'Scoring Dictionary'!$E$6+L21*'Scoring Dictionary'!$E$7+M21*'Scoring Dictionary'!$E$8,3))</x:f>
        <x:v>0</x:v>
      </x:c>
      <x:c r="O21" s="12" t="str">
        <x:f>IF(N21="","",IF(AND(N21&gt;=0.8,G21&gt;='Scoring Dictionary'!$F$2,I21&gt;='Scoring Dictionary'!$F$4,J21&gt;='Scoring Dictionary'!$F$5),"PASS","FAIL"))</x:f>
      </x:c>
      <x:c r="P21" s="12" t="str"/>
      <x:c r="Q21" s="38" t="str"/>
      <x:c r="R21" s="12" t="str"/>
      <x:c r="S21" s="12" t="str"/>
    </x:row>
    <x:row r="22">
      <x:c r="A22" s="12" t="str">
        <x:v>EXT-021</x:v>
      </x:c>
      <x:c r="B22" s="12" t="str"/>
      <x:c r="C22" s="12" t="str"/>
      <x:c r="D22" s="12" t="str">
        <x:v>GPT 5.4</x:v>
      </x:c>
      <x:c r="E22" s="12" t="str">
        <x:v>Gemini 2.5 Flash</x:v>
      </x:c>
      <x:c r="F22" s="12" t="str">
        <x:v>Cohere Multilingual v3.0</x:v>
      </x:c>
      <x:c r="G22" s="31" t="str"/>
      <x:c r="H22" s="31" t="str"/>
      <x:c r="I22" s="31" t="str"/>
      <x:c r="J22" s="31" t="str"/>
      <x:c r="K22" s="31" t="str"/>
      <x:c r="L22" s="31" t="str"/>
      <x:c r="M22" s="31" t="str"/>
      <x:c r="N22" s="39" t="n">
        <x:f>IF(COUNTA(G22:M22)=0,"",ROUND(G22*'Scoring Dictionary'!$E$2+H22*'Scoring Dictionary'!$E$3+I22*'Scoring Dictionary'!$E$4+J22*'Scoring Dictionary'!$E$5+K22*'Scoring Dictionary'!$E$6+L22*'Scoring Dictionary'!$E$7+M22*'Scoring Dictionary'!$E$8,3))</x:f>
        <x:v>0</x:v>
      </x:c>
      <x:c r="O22" s="12" t="str">
        <x:f>IF(N22="","",IF(AND(N22&gt;=0.8,G22&gt;='Scoring Dictionary'!$F$2,I22&gt;='Scoring Dictionary'!$F$4,J22&gt;='Scoring Dictionary'!$F$5),"PASS","FAIL"))</x:f>
      </x:c>
      <x:c r="P22" s="12" t="str"/>
      <x:c r="Q22" s="38" t="str"/>
      <x:c r="R22" s="12" t="str"/>
      <x:c r="S22" s="12" t="str"/>
    </x:row>
    <x:row r="23">
      <x:c r="A23" s="12" t="str">
        <x:v>EXT-022</x:v>
      </x:c>
      <x:c r="B23" s="12" t="str"/>
      <x:c r="C23" s="12" t="str"/>
      <x:c r="D23" s="12" t="str">
        <x:v>GPT 5.4</x:v>
      </x:c>
      <x:c r="E23" s="12" t="str">
        <x:v>Gemini 2.5 Pro</x:v>
      </x:c>
      <x:c r="F23" s="12" t="str">
        <x:v>Cohere Multilingual v3.0</x:v>
      </x:c>
      <x:c r="G23" s="31" t="str"/>
      <x:c r="H23" s="31" t="str"/>
      <x:c r="I23" s="31" t="str"/>
      <x:c r="J23" s="31" t="str"/>
      <x:c r="K23" s="31" t="str"/>
      <x:c r="L23" s="31" t="str"/>
      <x:c r="M23" s="31" t="str"/>
      <x:c r="N23" s="39" t="n">
        <x:f>IF(COUNTA(G23:M23)=0,"",ROUND(G23*'Scoring Dictionary'!$E$2+H23*'Scoring Dictionary'!$E$3+I23*'Scoring Dictionary'!$E$4+J23*'Scoring Dictionary'!$E$5+K23*'Scoring Dictionary'!$E$6+L23*'Scoring Dictionary'!$E$7+M23*'Scoring Dictionary'!$E$8,3))</x:f>
        <x:v>0</x:v>
      </x:c>
      <x:c r="O23" s="12" t="str">
        <x:f>IF(N23="","",IF(AND(N23&gt;=0.8,G23&gt;='Scoring Dictionary'!$F$2,I23&gt;='Scoring Dictionary'!$F$4,J23&gt;='Scoring Dictionary'!$F$5),"PASS","FAIL"))</x:f>
      </x:c>
      <x:c r="P23" s="12" t="str"/>
      <x:c r="Q23" s="38" t="str"/>
      <x:c r="R23" s="12" t="str"/>
      <x:c r="S23" s="12" t="str"/>
    </x:row>
    <x:row r="24">
      <x:c r="A24" s="12" t="str">
        <x:v>EXT-023</x:v>
      </x:c>
      <x:c r="B24" s="12" t="str"/>
      <x:c r="C24" s="12" t="str"/>
      <x:c r="D24" s="12" t="str">
        <x:v>GPT 5.4</x:v>
      </x:c>
      <x:c r="E24" s="12" t="str">
        <x:v>Gemini 3.1 Flash Lite</x:v>
      </x:c>
      <x:c r="F24" s="12" t="str">
        <x:v>Cohere Multilingual v3.0</x:v>
      </x:c>
      <x:c r="G24" s="31" t="str"/>
      <x:c r="H24" s="31" t="str"/>
      <x:c r="I24" s="31" t="str"/>
      <x:c r="J24" s="31" t="str"/>
      <x:c r="K24" s="31" t="str"/>
      <x:c r="L24" s="31" t="str"/>
      <x:c r="M24" s="31" t="str"/>
      <x:c r="N24" s="39" t="n">
        <x:f>IF(COUNTA(G24:M24)=0,"",ROUND(G24*'Scoring Dictionary'!$E$2+H24*'Scoring Dictionary'!$E$3+I24*'Scoring Dictionary'!$E$4+J24*'Scoring Dictionary'!$E$5+K24*'Scoring Dictionary'!$E$6+L24*'Scoring Dictionary'!$E$7+M24*'Scoring Dictionary'!$E$8,3))</x:f>
        <x:v>0</x:v>
      </x:c>
      <x:c r="O24" s="12" t="str">
        <x:f>IF(N24="","",IF(AND(N24&gt;=0.8,G24&gt;='Scoring Dictionary'!$F$2,I24&gt;='Scoring Dictionary'!$F$4,J24&gt;='Scoring Dictionary'!$F$5),"PASS","FAIL"))</x:f>
      </x:c>
      <x:c r="P24" s="12" t="str"/>
      <x:c r="Q24" s="38" t="str"/>
      <x:c r="R24" s="12" t="str"/>
      <x:c r="S24" s="12" t="str"/>
    </x:row>
    <x:row r="25">
      <x:c r="A25" s="12" t="str">
        <x:v>EXT-024</x:v>
      </x:c>
      <x:c r="B25" s="12" t="str"/>
      <x:c r="C25" s="12" t="str"/>
      <x:c r="D25" s="12" t="str">
        <x:v>GPT 5.4</x:v>
      </x:c>
      <x:c r="E25" s="12" t="str">
        <x:v>Gemini 3.5 Flash</x:v>
      </x:c>
      <x:c r="F25" s="12" t="str">
        <x:v>Cohere Multilingual v3.0</x:v>
      </x:c>
      <x:c r="G25" s="31" t="str"/>
      <x:c r="H25" s="31" t="str"/>
      <x:c r="I25" s="31" t="str"/>
      <x:c r="J25" s="31" t="str"/>
      <x:c r="K25" s="31" t="str"/>
      <x:c r="L25" s="31" t="str"/>
      <x:c r="M25" s="31" t="str"/>
      <x:c r="N25" s="39" t="n">
        <x:f>IF(COUNTA(G25:M25)=0,"",ROUND(G25*'Scoring Dictionary'!$E$2+H25*'Scoring Dictionary'!$E$3+I25*'Scoring Dictionary'!$E$4+J25*'Scoring Dictionary'!$E$5+K25*'Scoring Dictionary'!$E$6+L25*'Scoring Dictionary'!$E$7+M25*'Scoring Dictionary'!$E$8,3))</x:f>
        <x:v>0</x:v>
      </x:c>
      <x:c r="O25" s="12" t="str">
        <x:f>IF(N25="","",IF(AND(N25&gt;=0.8,G25&gt;='Scoring Dictionary'!$F$2,I25&gt;='Scoring Dictionary'!$F$4,J25&gt;='Scoring Dictionary'!$F$5),"PASS","FAIL"))</x:f>
      </x:c>
      <x:c r="P25" s="12" t="str"/>
      <x:c r="Q25" s="38" t="str"/>
      <x:c r="R25" s="12" t="str"/>
      <x:c r="S25" s="12" t="str"/>
    </x:row>
    <x:row r="26">
      <x:c r="A26" s="12" t="str">
        <x:v>EXT-025</x:v>
      </x:c>
      <x:c r="B26" s="12" t="str"/>
      <x:c r="C26" s="12" t="str"/>
      <x:c r="D26" s="12" t="str">
        <x:v>GPT 5.4 mini</x:v>
      </x:c>
      <x:c r="E26" s="12" t="str">
        <x:v>GPT 4o</x:v>
      </x:c>
      <x:c r="F26" s="12" t="str">
        <x:v>Cohere Multilingual v3.0</x:v>
      </x:c>
      <x:c r="G26" s="31" t="str"/>
      <x:c r="H26" s="31" t="str"/>
      <x:c r="I26" s="31" t="str"/>
      <x:c r="J26" s="31" t="str"/>
      <x:c r="K26" s="31" t="str"/>
      <x:c r="L26" s="31" t="str"/>
      <x:c r="M26" s="31" t="str"/>
      <x:c r="N26" s="39" t="n">
        <x:f>IF(COUNTA(G26:M26)=0,"",ROUND(G26*'Scoring Dictionary'!$E$2+H26*'Scoring Dictionary'!$E$3+I26*'Scoring Dictionary'!$E$4+J26*'Scoring Dictionary'!$E$5+K26*'Scoring Dictionary'!$E$6+L26*'Scoring Dictionary'!$E$7+M26*'Scoring Dictionary'!$E$8,3))</x:f>
        <x:v>0</x:v>
      </x:c>
      <x:c r="O26" s="12" t="str">
        <x:f>IF(N26="","",IF(AND(N26&gt;=0.8,G26&gt;='Scoring Dictionary'!$F$2,I26&gt;='Scoring Dictionary'!$F$4,J26&gt;='Scoring Dictionary'!$F$5),"PASS","FAIL"))</x:f>
      </x:c>
      <x:c r="P26" s="12" t="str"/>
      <x:c r="Q26" s="38" t="str"/>
      <x:c r="R26" s="12" t="str"/>
      <x:c r="S26" s="12" t="str"/>
    </x:row>
    <x:row r="27">
      <x:c r="A27" s="12" t="str">
        <x:v>EXT-026</x:v>
      </x:c>
      <x:c r="B27" s="12" t="str"/>
      <x:c r="C27" s="12" t="str"/>
      <x:c r="D27" s="12" t="str">
        <x:v>GPT 5.4 mini</x:v>
      </x:c>
      <x:c r="E27" s="12" t="str">
        <x:v>GPT 4o mini</x:v>
      </x:c>
      <x:c r="F27" s="12" t="str">
        <x:v>Cohere Multilingual v3.0</x:v>
      </x:c>
      <x:c r="G27" s="31" t="str"/>
      <x:c r="H27" s="31" t="str"/>
      <x:c r="I27" s="31" t="str"/>
      <x:c r="J27" s="31" t="str"/>
      <x:c r="K27" s="31" t="str"/>
      <x:c r="L27" s="31" t="str"/>
      <x:c r="M27" s="31" t="str"/>
      <x:c r="N27" s="39" t="n">
        <x:f>IF(COUNTA(G27:M27)=0,"",ROUND(G27*'Scoring Dictionary'!$E$2+H27*'Scoring Dictionary'!$E$3+I27*'Scoring Dictionary'!$E$4+J27*'Scoring Dictionary'!$E$5+K27*'Scoring Dictionary'!$E$6+L27*'Scoring Dictionary'!$E$7+M27*'Scoring Dictionary'!$E$8,3))</x:f>
        <x:v>0</x:v>
      </x:c>
      <x:c r="O27" s="12" t="str">
        <x:f>IF(N27="","",IF(AND(N27&gt;=0.8,G27&gt;='Scoring Dictionary'!$F$2,I27&gt;='Scoring Dictionary'!$F$4,J27&gt;='Scoring Dictionary'!$F$5),"PASS","FAIL"))</x:f>
      </x:c>
      <x:c r="P27" s="12" t="str"/>
      <x:c r="Q27" s="38" t="str"/>
      <x:c r="R27" s="12" t="str"/>
      <x:c r="S27" s="12" t="str"/>
    </x:row>
    <x:row r="28">
      <x:c r="A28" s="12" t="str">
        <x:v>EXT-027</x:v>
      </x:c>
      <x:c r="B28" s="12" t="str"/>
      <x:c r="C28" s="12" t="str"/>
      <x:c r="D28" s="12" t="str">
        <x:v>GPT 5.4 mini</x:v>
      </x:c>
      <x:c r="E28" s="12" t="str">
        <x:v>GPT 5.4 mini</x:v>
      </x:c>
      <x:c r="F28" s="12" t="str">
        <x:v>Cohere Multilingual v3.0</x:v>
      </x:c>
      <x:c r="G28" s="31" t="str"/>
      <x:c r="H28" s="31" t="str"/>
      <x:c r="I28" s="31" t="str"/>
      <x:c r="J28" s="31" t="str"/>
      <x:c r="K28" s="31" t="str"/>
      <x:c r="L28" s="31" t="str"/>
      <x:c r="M28" s="31" t="str"/>
      <x:c r="N28" s="39" t="n">
        <x:f>IF(COUNTA(G28:M28)=0,"",ROUND(G28*'Scoring Dictionary'!$E$2+H28*'Scoring Dictionary'!$E$3+I28*'Scoring Dictionary'!$E$4+J28*'Scoring Dictionary'!$E$5+K28*'Scoring Dictionary'!$E$6+L28*'Scoring Dictionary'!$E$7+M28*'Scoring Dictionary'!$E$8,3))</x:f>
        <x:v>0</x:v>
      </x:c>
      <x:c r="O28" s="12" t="str">
        <x:f>IF(N28="","",IF(AND(N28&gt;=0.8,G28&gt;='Scoring Dictionary'!$F$2,I28&gt;='Scoring Dictionary'!$F$4,J28&gt;='Scoring Dictionary'!$F$5),"PASS","FAIL"))</x:f>
      </x:c>
      <x:c r="P28" s="12" t="str"/>
      <x:c r="Q28" s="38" t="str"/>
      <x:c r="R28" s="12" t="str"/>
      <x:c r="S28" s="12" t="str"/>
    </x:row>
    <x:row r="29">
      <x:c r="A29" s="12" t="str">
        <x:v>EXT-028</x:v>
      </x:c>
      <x:c r="B29" s="12" t="str"/>
      <x:c r="C29" s="12" t="str"/>
      <x:c r="D29" s="12" t="str">
        <x:v>GPT 5.4 mini</x:v>
      </x:c>
      <x:c r="E29" s="12" t="str">
        <x:v>Gemini 2.5</x:v>
      </x:c>
      <x:c r="F29" s="12" t="str">
        <x:v>Cohere Multilingual v3.0</x:v>
      </x:c>
      <x:c r="G29" s="31" t="str"/>
      <x:c r="H29" s="31" t="str"/>
      <x:c r="I29" s="31" t="str"/>
      <x:c r="J29" s="31" t="str"/>
      <x:c r="K29" s="31" t="str"/>
      <x:c r="L29" s="31" t="str"/>
      <x:c r="M29" s="31" t="str"/>
      <x:c r="N29" s="39" t="n">
        <x:f>IF(COUNTA(G29:M29)=0,"",ROUND(G29*'Scoring Dictionary'!$E$2+H29*'Scoring Dictionary'!$E$3+I29*'Scoring Dictionary'!$E$4+J29*'Scoring Dictionary'!$E$5+K29*'Scoring Dictionary'!$E$6+L29*'Scoring Dictionary'!$E$7+M29*'Scoring Dictionary'!$E$8,3))</x:f>
        <x:v>0</x:v>
      </x:c>
      <x:c r="O29" s="12" t="str">
        <x:f>IF(N29="","",IF(AND(N29&gt;=0.8,G29&gt;='Scoring Dictionary'!$F$2,I29&gt;='Scoring Dictionary'!$F$4,J29&gt;='Scoring Dictionary'!$F$5),"PASS","FAIL"))</x:f>
      </x:c>
      <x:c r="P29" s="12" t="str"/>
      <x:c r="Q29" s="38" t="str"/>
      <x:c r="R29" s="12" t="str"/>
      <x:c r="S29" s="12" t="str"/>
    </x:row>
    <x:row r="30">
      <x:c r="A30" s="12" t="str">
        <x:v>EXT-029</x:v>
      </x:c>
      <x:c r="B30" s="12" t="str"/>
      <x:c r="C30" s="12" t="str"/>
      <x:c r="D30" s="12" t="str">
        <x:v>GPT 5.4 mini</x:v>
      </x:c>
      <x:c r="E30" s="12" t="str">
        <x:v>Gemini 2.5 Flash</x:v>
      </x:c>
      <x:c r="F30" s="12" t="str">
        <x:v>Cohere Multilingual v3.0</x:v>
      </x:c>
      <x:c r="G30" s="31" t="str"/>
      <x:c r="H30" s="31" t="str"/>
      <x:c r="I30" s="31" t="str"/>
      <x:c r="J30" s="31" t="str"/>
      <x:c r="K30" s="31" t="str"/>
      <x:c r="L30" s="31" t="str"/>
      <x:c r="M30" s="31" t="str"/>
      <x:c r="N30" s="39" t="n">
        <x:f>IF(COUNTA(G30:M30)=0,"",ROUND(G30*'Scoring Dictionary'!$E$2+H30*'Scoring Dictionary'!$E$3+I30*'Scoring Dictionary'!$E$4+J30*'Scoring Dictionary'!$E$5+K30*'Scoring Dictionary'!$E$6+L30*'Scoring Dictionary'!$E$7+M30*'Scoring Dictionary'!$E$8,3))</x:f>
        <x:v>0</x:v>
      </x:c>
      <x:c r="O30" s="12" t="str">
        <x:f>IF(N30="","",IF(AND(N30&gt;=0.8,G30&gt;='Scoring Dictionary'!$F$2,I30&gt;='Scoring Dictionary'!$F$4,J30&gt;='Scoring Dictionary'!$F$5),"PASS","FAIL"))</x:f>
      </x:c>
      <x:c r="P30" s="12" t="str"/>
      <x:c r="Q30" s="38" t="str"/>
      <x:c r="R30" s="12" t="str"/>
      <x:c r="S30" s="12" t="str"/>
    </x:row>
    <x:row r="31">
      <x:c r="A31" s="12" t="str">
        <x:v>EXT-030</x:v>
      </x:c>
      <x:c r="B31" s="12" t="str"/>
      <x:c r="C31" s="12" t="str"/>
      <x:c r="D31" s="12" t="str">
        <x:v>GPT 5.4 mini</x:v>
      </x:c>
      <x:c r="E31" s="12" t="str">
        <x:v>Gemini 2.5 Pro</x:v>
      </x:c>
      <x:c r="F31" s="12" t="str">
        <x:v>Cohere Multilingual v3.0</x:v>
      </x:c>
      <x:c r="G31" s="31" t="str"/>
      <x:c r="H31" s="31" t="str"/>
      <x:c r="I31" s="31" t="str"/>
      <x:c r="J31" s="31" t="str"/>
      <x:c r="K31" s="31" t="str"/>
      <x:c r="L31" s="31" t="str"/>
      <x:c r="M31" s="31" t="str"/>
      <x:c r="N31" s="39" t="n">
        <x:f>IF(COUNTA(G31:M31)=0,"",ROUND(G31*'Scoring Dictionary'!$E$2+H31*'Scoring Dictionary'!$E$3+I31*'Scoring Dictionary'!$E$4+J31*'Scoring Dictionary'!$E$5+K31*'Scoring Dictionary'!$E$6+L31*'Scoring Dictionary'!$E$7+M31*'Scoring Dictionary'!$E$8,3))</x:f>
        <x:v>0</x:v>
      </x:c>
      <x:c r="O31" s="12" t="str">
        <x:f>IF(N31="","",IF(AND(N31&gt;=0.8,G31&gt;='Scoring Dictionary'!$F$2,I31&gt;='Scoring Dictionary'!$F$4,J31&gt;='Scoring Dictionary'!$F$5),"PASS","FAIL"))</x:f>
      </x:c>
      <x:c r="P31" s="12" t="str"/>
      <x:c r="Q31" s="38" t="str"/>
      <x:c r="R31" s="12" t="str"/>
      <x:c r="S31" s="12" t="str"/>
    </x:row>
    <x:row r="32">
      <x:c r="A32" s="12" t="str">
        <x:v>EXT-031</x:v>
      </x:c>
      <x:c r="B32" s="12" t="str"/>
      <x:c r="C32" s="12" t="str"/>
      <x:c r="D32" s="12" t="str">
        <x:v>GPT 5.4 mini</x:v>
      </x:c>
      <x:c r="E32" s="12" t="str">
        <x:v>Gemini 3.1 Flash Lite</x:v>
      </x:c>
      <x:c r="F32" s="12" t="str">
        <x:v>Cohere Multilingual v3.0</x:v>
      </x:c>
      <x:c r="G32" s="31" t="str"/>
      <x:c r="H32" s="31" t="str"/>
      <x:c r="I32" s="31" t="str"/>
      <x:c r="J32" s="31" t="str"/>
      <x:c r="K32" s="31" t="str"/>
      <x:c r="L32" s="31" t="str"/>
      <x:c r="M32" s="31" t="str"/>
      <x:c r="N32" s="39" t="n">
        <x:f>IF(COUNTA(G32:M32)=0,"",ROUND(G32*'Scoring Dictionary'!$E$2+H32*'Scoring Dictionary'!$E$3+I32*'Scoring Dictionary'!$E$4+J32*'Scoring Dictionary'!$E$5+K32*'Scoring Dictionary'!$E$6+L32*'Scoring Dictionary'!$E$7+M32*'Scoring Dictionary'!$E$8,3))</x:f>
        <x:v>0</x:v>
      </x:c>
      <x:c r="O32" s="12" t="str">
        <x:f>IF(N32="","",IF(AND(N32&gt;=0.8,G32&gt;='Scoring Dictionary'!$F$2,I32&gt;='Scoring Dictionary'!$F$4,J32&gt;='Scoring Dictionary'!$F$5),"PASS","FAIL"))</x:f>
      </x:c>
      <x:c r="P32" s="12" t="str"/>
      <x:c r="Q32" s="38" t="str"/>
      <x:c r="R32" s="12" t="str"/>
      <x:c r="S32" s="12" t="str"/>
    </x:row>
    <x:row r="33">
      <x:c r="A33" s="12" t="str">
        <x:v>EXT-032</x:v>
      </x:c>
      <x:c r="B33" s="12" t="str"/>
      <x:c r="C33" s="12" t="str"/>
      <x:c r="D33" s="12" t="str">
        <x:v>GPT 5.4 mini</x:v>
      </x:c>
      <x:c r="E33" s="12" t="str">
        <x:v>Gemini 3.5 Flash</x:v>
      </x:c>
      <x:c r="F33" s="12" t="str">
        <x:v>Cohere Multilingual v3.0</x:v>
      </x:c>
      <x:c r="G33" s="31" t="str"/>
      <x:c r="H33" s="31" t="str"/>
      <x:c r="I33" s="31" t="str"/>
      <x:c r="J33" s="31" t="str"/>
      <x:c r="K33" s="31" t="str"/>
      <x:c r="L33" s="31" t="str"/>
      <x:c r="M33" s="31" t="str"/>
      <x:c r="N33" s="39" t="n">
        <x:f>IF(COUNTA(G33:M33)=0,"",ROUND(G33*'Scoring Dictionary'!$E$2+H33*'Scoring Dictionary'!$E$3+I33*'Scoring Dictionary'!$E$4+J33*'Scoring Dictionary'!$E$5+K33*'Scoring Dictionary'!$E$6+L33*'Scoring Dictionary'!$E$7+M33*'Scoring Dictionary'!$E$8,3))</x:f>
        <x:v>0</x:v>
      </x:c>
      <x:c r="O33" s="12" t="str">
        <x:f>IF(N33="","",IF(AND(N33&gt;=0.8,G33&gt;='Scoring Dictionary'!$F$2,I33&gt;='Scoring Dictionary'!$F$4,J33&gt;='Scoring Dictionary'!$F$5),"PASS","FAIL"))</x:f>
      </x:c>
      <x:c r="P33" s="12" t="str"/>
      <x:c r="Q33" s="38" t="str"/>
      <x:c r="R33" s="12" t="str"/>
      <x:c r="S33" s="12" t="str"/>
    </x:row>
    <x:row r="34">
      <x:c r="A34" s="12" t="str">
        <x:v>EXT-033</x:v>
      </x:c>
      <x:c r="B34" s="12" t="str"/>
      <x:c r="C34" s="12" t="str"/>
      <x:c r="D34" s="12" t="str">
        <x:v>GPT 5.5</x:v>
      </x:c>
      <x:c r="E34" s="12" t="str">
        <x:v>GPT 4o</x:v>
      </x:c>
      <x:c r="F34" s="12" t="str">
        <x:v>Cohere Multilingual v3.0</x:v>
      </x:c>
      <x:c r="G34" s="31" t="str"/>
      <x:c r="H34" s="31" t="str"/>
      <x:c r="I34" s="31" t="str"/>
      <x:c r="J34" s="31" t="str"/>
      <x:c r="K34" s="31" t="str"/>
      <x:c r="L34" s="31" t="str"/>
      <x:c r="M34" s="31" t="str"/>
      <x:c r="N34" s="39" t="n">
        <x:f>IF(COUNTA(G34:M34)=0,"",ROUND(G34*'Scoring Dictionary'!$E$2+H34*'Scoring Dictionary'!$E$3+I34*'Scoring Dictionary'!$E$4+J34*'Scoring Dictionary'!$E$5+K34*'Scoring Dictionary'!$E$6+L34*'Scoring Dictionary'!$E$7+M34*'Scoring Dictionary'!$E$8,3))</x:f>
        <x:v>0</x:v>
      </x:c>
      <x:c r="O34" s="12" t="str">
        <x:f>IF(N34="","",IF(AND(N34&gt;=0.8,G34&gt;='Scoring Dictionary'!$F$2,I34&gt;='Scoring Dictionary'!$F$4,J34&gt;='Scoring Dictionary'!$F$5),"PASS","FAIL"))</x:f>
      </x:c>
      <x:c r="P34" s="12" t="str"/>
      <x:c r="Q34" s="38" t="str"/>
      <x:c r="R34" s="12" t="str"/>
      <x:c r="S34" s="12" t="str"/>
    </x:row>
    <x:row r="35">
      <x:c r="A35" s="12" t="str">
        <x:v>EXT-034</x:v>
      </x:c>
      <x:c r="B35" s="12" t="str"/>
      <x:c r="C35" s="12" t="str"/>
      <x:c r="D35" s="12" t="str">
        <x:v>GPT 5.5</x:v>
      </x:c>
      <x:c r="E35" s="12" t="str">
        <x:v>GPT 4o mini</x:v>
      </x:c>
      <x:c r="F35" s="12" t="str">
        <x:v>Cohere Multilingual v3.0</x:v>
      </x:c>
      <x:c r="G35" s="31" t="str"/>
      <x:c r="H35" s="31" t="str"/>
      <x:c r="I35" s="31" t="str"/>
      <x:c r="J35" s="31" t="str"/>
      <x:c r="K35" s="31" t="str"/>
      <x:c r="L35" s="31" t="str"/>
      <x:c r="M35" s="31" t="str"/>
      <x:c r="N35" s="39" t="n">
        <x:f>IF(COUNTA(G35:M35)=0,"",ROUND(G35*'Scoring Dictionary'!$E$2+H35*'Scoring Dictionary'!$E$3+I35*'Scoring Dictionary'!$E$4+J35*'Scoring Dictionary'!$E$5+K35*'Scoring Dictionary'!$E$6+L35*'Scoring Dictionary'!$E$7+M35*'Scoring Dictionary'!$E$8,3))</x:f>
        <x:v>0</x:v>
      </x:c>
      <x:c r="O35" s="12" t="str">
        <x:f>IF(N35="","",IF(AND(N35&gt;=0.8,G35&gt;='Scoring Dictionary'!$F$2,I35&gt;='Scoring Dictionary'!$F$4,J35&gt;='Scoring Dictionary'!$F$5),"PASS","FAIL"))</x:f>
      </x:c>
      <x:c r="P35" s="12" t="str"/>
      <x:c r="Q35" s="38" t="str"/>
      <x:c r="R35" s="12" t="str"/>
      <x:c r="S35" s="12" t="str"/>
    </x:row>
    <x:row r="36">
      <x:c r="A36" s="12" t="str">
        <x:v>EXT-035</x:v>
      </x:c>
      <x:c r="B36" s="12" t="str"/>
      <x:c r="C36" s="12" t="str"/>
      <x:c r="D36" s="12" t="str">
        <x:v>GPT 5.5</x:v>
      </x:c>
      <x:c r="E36" s="12" t="str">
        <x:v>GPT 5.4 mini</x:v>
      </x:c>
      <x:c r="F36" s="12" t="str">
        <x:v>Cohere Multilingual v3.0</x:v>
      </x:c>
      <x:c r="G36" s="31" t="str"/>
      <x:c r="H36" s="31" t="str"/>
      <x:c r="I36" s="31" t="str"/>
      <x:c r="J36" s="31" t="str"/>
      <x:c r="K36" s="31" t="str"/>
      <x:c r="L36" s="31" t="str"/>
      <x:c r="M36" s="31" t="str"/>
      <x:c r="N36" s="39" t="n">
        <x:f>IF(COUNTA(G36:M36)=0,"",ROUND(G36*'Scoring Dictionary'!$E$2+H36*'Scoring Dictionary'!$E$3+I36*'Scoring Dictionary'!$E$4+J36*'Scoring Dictionary'!$E$5+K36*'Scoring Dictionary'!$E$6+L36*'Scoring Dictionary'!$E$7+M36*'Scoring Dictionary'!$E$8,3))</x:f>
        <x:v>0</x:v>
      </x:c>
      <x:c r="O36" s="12" t="str">
        <x:f>IF(N36="","",IF(AND(N36&gt;=0.8,G36&gt;='Scoring Dictionary'!$F$2,I36&gt;='Scoring Dictionary'!$F$4,J36&gt;='Scoring Dictionary'!$F$5),"PASS","FAIL"))</x:f>
      </x:c>
      <x:c r="P36" s="12" t="str"/>
      <x:c r="Q36" s="38" t="str"/>
      <x:c r="R36" s="12" t="str"/>
      <x:c r="S36" s="12" t="str"/>
    </x:row>
    <x:row r="37">
      <x:c r="A37" s="12" t="str">
        <x:v>EXT-036</x:v>
      </x:c>
      <x:c r="B37" s="12" t="str"/>
      <x:c r="C37" s="12" t="str"/>
      <x:c r="D37" s="12" t="str">
        <x:v>GPT 5.5</x:v>
      </x:c>
      <x:c r="E37" s="12" t="str">
        <x:v>Gemini 2.5</x:v>
      </x:c>
      <x:c r="F37" s="12" t="str">
        <x:v>Cohere Multilingual v3.0</x:v>
      </x:c>
      <x:c r="G37" s="31" t="str"/>
      <x:c r="H37" s="31" t="str"/>
      <x:c r="I37" s="31" t="str"/>
      <x:c r="J37" s="31" t="str"/>
      <x:c r="K37" s="31" t="str"/>
      <x:c r="L37" s="31" t="str"/>
      <x:c r="M37" s="31" t="str"/>
      <x:c r="N37" s="39" t="n">
        <x:f>IF(COUNTA(G37:M37)=0,"",ROUND(G37*'Scoring Dictionary'!$E$2+H37*'Scoring Dictionary'!$E$3+I37*'Scoring Dictionary'!$E$4+J37*'Scoring Dictionary'!$E$5+K37*'Scoring Dictionary'!$E$6+L37*'Scoring Dictionary'!$E$7+M37*'Scoring Dictionary'!$E$8,3))</x:f>
        <x:v>0</x:v>
      </x:c>
      <x:c r="O37" s="12" t="str">
        <x:f>IF(N37="","",IF(AND(N37&gt;=0.8,G37&gt;='Scoring Dictionary'!$F$2,I37&gt;='Scoring Dictionary'!$F$4,J37&gt;='Scoring Dictionary'!$F$5),"PASS","FAIL"))</x:f>
      </x:c>
      <x:c r="P37" s="12" t="str"/>
      <x:c r="Q37" s="38" t="str"/>
      <x:c r="R37" s="12" t="str"/>
      <x:c r="S37" s="12" t="str"/>
    </x:row>
    <x:row r="38">
      <x:c r="A38" s="12" t="str">
        <x:v>EXT-037</x:v>
      </x:c>
      <x:c r="B38" s="12" t="str"/>
      <x:c r="C38" s="12" t="str"/>
      <x:c r="D38" s="12" t="str">
        <x:v>GPT 5.5</x:v>
      </x:c>
      <x:c r="E38" s="12" t="str">
        <x:v>Gemini 2.5 Flash</x:v>
      </x:c>
      <x:c r="F38" s="12" t="str">
        <x:v>Cohere Multilingual v3.0</x:v>
      </x:c>
      <x:c r="G38" s="31" t="str"/>
      <x:c r="H38" s="31" t="str"/>
      <x:c r="I38" s="31" t="str"/>
      <x:c r="J38" s="31" t="str"/>
      <x:c r="K38" s="31" t="str"/>
      <x:c r="L38" s="31" t="str"/>
      <x:c r="M38" s="31" t="str"/>
      <x:c r="N38" s="39" t="n">
        <x:f>IF(COUNTA(G38:M38)=0,"",ROUND(G38*'Scoring Dictionary'!$E$2+H38*'Scoring Dictionary'!$E$3+I38*'Scoring Dictionary'!$E$4+J38*'Scoring Dictionary'!$E$5+K38*'Scoring Dictionary'!$E$6+L38*'Scoring Dictionary'!$E$7+M38*'Scoring Dictionary'!$E$8,3))</x:f>
        <x:v>0</x:v>
      </x:c>
      <x:c r="O38" s="12" t="str">
        <x:f>IF(N38="","",IF(AND(N38&gt;=0.8,G38&gt;='Scoring Dictionary'!$F$2,I38&gt;='Scoring Dictionary'!$F$4,J38&gt;='Scoring Dictionary'!$F$5),"PASS","FAIL"))</x:f>
      </x:c>
      <x:c r="P38" s="12" t="str"/>
      <x:c r="Q38" s="38" t="str"/>
      <x:c r="R38" s="12" t="str"/>
      <x:c r="S38" s="12" t="str"/>
    </x:row>
    <x:row r="39">
      <x:c r="A39" s="12" t="str">
        <x:v>EXT-038</x:v>
      </x:c>
      <x:c r="B39" s="12" t="str"/>
      <x:c r="C39" s="12" t="str"/>
      <x:c r="D39" s="12" t="str">
        <x:v>GPT 5.5</x:v>
      </x:c>
      <x:c r="E39" s="12" t="str">
        <x:v>Gemini 2.5 Pro</x:v>
      </x:c>
      <x:c r="F39" s="12" t="str">
        <x:v>Cohere Multilingual v3.0</x:v>
      </x:c>
      <x:c r="G39" s="31" t="str"/>
      <x:c r="H39" s="31" t="str"/>
      <x:c r="I39" s="31" t="str"/>
      <x:c r="J39" s="31" t="str"/>
      <x:c r="K39" s="31" t="str"/>
      <x:c r="L39" s="31" t="str"/>
      <x:c r="M39" s="31" t="str"/>
      <x:c r="N39" s="39" t="n">
        <x:f>IF(COUNTA(G39:M39)=0,"",ROUND(G39*'Scoring Dictionary'!$E$2+H39*'Scoring Dictionary'!$E$3+I39*'Scoring Dictionary'!$E$4+J39*'Scoring Dictionary'!$E$5+K39*'Scoring Dictionary'!$E$6+L39*'Scoring Dictionary'!$E$7+M39*'Scoring Dictionary'!$E$8,3))</x:f>
        <x:v>0</x:v>
      </x:c>
      <x:c r="O39" s="12" t="str">
        <x:f>IF(N39="","",IF(AND(N39&gt;=0.8,G39&gt;='Scoring Dictionary'!$F$2,I39&gt;='Scoring Dictionary'!$F$4,J39&gt;='Scoring Dictionary'!$F$5),"PASS","FAIL"))</x:f>
      </x:c>
      <x:c r="P39" s="12" t="str"/>
      <x:c r="Q39" s="38" t="str"/>
      <x:c r="R39" s="12" t="str"/>
      <x:c r="S39" s="12" t="str"/>
    </x:row>
    <x:row r="40">
      <x:c r="A40" s="12" t="str">
        <x:v>EXT-039</x:v>
      </x:c>
      <x:c r="B40" s="12" t="str"/>
      <x:c r="C40" s="12" t="str"/>
      <x:c r="D40" s="12" t="str">
        <x:v>GPT 5.5</x:v>
      </x:c>
      <x:c r="E40" s="12" t="str">
        <x:v>Gemini 3.1 Flash Lite</x:v>
      </x:c>
      <x:c r="F40" s="12" t="str">
        <x:v>Cohere Multilingual v3.0</x:v>
      </x:c>
      <x:c r="G40" s="31" t="str"/>
      <x:c r="H40" s="31" t="str"/>
      <x:c r="I40" s="31" t="str"/>
      <x:c r="J40" s="31" t="str"/>
      <x:c r="K40" s="31" t="str"/>
      <x:c r="L40" s="31" t="str"/>
      <x:c r="M40" s="31" t="str"/>
      <x:c r="N40" s="39" t="n">
        <x:f>IF(COUNTA(G40:M40)=0,"",ROUND(G40*'Scoring Dictionary'!$E$2+H40*'Scoring Dictionary'!$E$3+I40*'Scoring Dictionary'!$E$4+J40*'Scoring Dictionary'!$E$5+K40*'Scoring Dictionary'!$E$6+L40*'Scoring Dictionary'!$E$7+M40*'Scoring Dictionary'!$E$8,3))</x:f>
        <x:v>0</x:v>
      </x:c>
      <x:c r="O40" s="12" t="str">
        <x:f>IF(N40="","",IF(AND(N40&gt;=0.8,G40&gt;='Scoring Dictionary'!$F$2,I40&gt;='Scoring Dictionary'!$F$4,J40&gt;='Scoring Dictionary'!$F$5),"PASS","FAIL"))</x:f>
      </x:c>
      <x:c r="P40" s="12" t="str"/>
      <x:c r="Q40" s="38" t="str"/>
      <x:c r="R40" s="12" t="str"/>
      <x:c r="S40" s="12" t="str"/>
    </x:row>
    <x:row r="41">
      <x:c r="A41" s="12" t="str">
        <x:v>EXT-040</x:v>
      </x:c>
      <x:c r="B41" s="12" t="str"/>
      <x:c r="C41" s="12" t="str"/>
      <x:c r="D41" s="12" t="str">
        <x:v>GPT 5.5</x:v>
      </x:c>
      <x:c r="E41" s="12" t="str">
        <x:v>Gemini 3.5 Flash</x:v>
      </x:c>
      <x:c r="F41" s="12" t="str">
        <x:v>Cohere Multilingual v3.0</x:v>
      </x:c>
      <x:c r="G41" s="31" t="str"/>
      <x:c r="H41" s="31" t="str"/>
      <x:c r="I41" s="31" t="str"/>
      <x:c r="J41" s="31" t="str"/>
      <x:c r="K41" s="31" t="str"/>
      <x:c r="L41" s="31" t="str"/>
      <x:c r="M41" s="31" t="str"/>
      <x:c r="N41" s="39" t="n">
        <x:f>IF(COUNTA(G41:M41)=0,"",ROUND(G41*'Scoring Dictionary'!$E$2+H41*'Scoring Dictionary'!$E$3+I41*'Scoring Dictionary'!$E$4+J41*'Scoring Dictionary'!$E$5+K41*'Scoring Dictionary'!$E$6+L41*'Scoring Dictionary'!$E$7+M41*'Scoring Dictionary'!$E$8,3))</x:f>
        <x:v>0</x:v>
      </x:c>
      <x:c r="O41" s="12" t="str">
        <x:f>IF(N41="","",IF(AND(N41&gt;=0.8,G41&gt;='Scoring Dictionary'!$F$2,I41&gt;='Scoring Dictionary'!$F$4,J41&gt;='Scoring Dictionary'!$F$5),"PASS","FAIL"))</x:f>
      </x:c>
      <x:c r="P41" s="12" t="str"/>
      <x:c r="Q41" s="38" t="str"/>
      <x:c r="R41" s="12" t="str"/>
      <x:c r="S41" s="12" t="str"/>
    </x:row>
    <x:row r="42">
      <x:c r="A42" s="12" t="str">
        <x:v>EXT-041</x:v>
      </x:c>
      <x:c r="B42" s="12" t="str"/>
      <x:c r="C42" s="12" t="str"/>
      <x:c r="D42" s="12" t="str">
        <x:v>Gemini 2.5</x:v>
      </x:c>
      <x:c r="E42" s="12" t="str">
        <x:v>GPT 4o</x:v>
      </x:c>
      <x:c r="F42" s="12" t="str">
        <x:v>Cohere Multilingual v3.0</x:v>
      </x:c>
      <x:c r="G42" s="31" t="str"/>
      <x:c r="H42" s="31" t="str"/>
      <x:c r="I42" s="31" t="str"/>
      <x:c r="J42" s="31" t="str"/>
      <x:c r="K42" s="31" t="str"/>
      <x:c r="L42" s="31" t="str"/>
      <x:c r="M42" s="31" t="str"/>
      <x:c r="N42" s="39" t="n">
        <x:f>IF(COUNTA(G42:M42)=0,"",ROUND(G42*'Scoring Dictionary'!$E$2+H42*'Scoring Dictionary'!$E$3+I42*'Scoring Dictionary'!$E$4+J42*'Scoring Dictionary'!$E$5+K42*'Scoring Dictionary'!$E$6+L42*'Scoring Dictionary'!$E$7+M42*'Scoring Dictionary'!$E$8,3))</x:f>
        <x:v>0</x:v>
      </x:c>
      <x:c r="O42" s="12" t="str">
        <x:f>IF(N42="","",IF(AND(N42&gt;=0.8,G42&gt;='Scoring Dictionary'!$F$2,I42&gt;='Scoring Dictionary'!$F$4,J42&gt;='Scoring Dictionary'!$F$5),"PASS","FAIL"))</x:f>
      </x:c>
      <x:c r="P42" s="12" t="str"/>
      <x:c r="Q42" s="38" t="str"/>
      <x:c r="R42" s="12" t="str"/>
      <x:c r="S42" s="12" t="str"/>
    </x:row>
    <x:row r="43">
      <x:c r="A43" s="12" t="str">
        <x:v>EXT-042</x:v>
      </x:c>
      <x:c r="B43" s="12" t="str"/>
      <x:c r="C43" s="12" t="str"/>
      <x:c r="D43" s="12" t="str">
        <x:v>Gemini 2.5</x:v>
      </x:c>
      <x:c r="E43" s="12" t="str">
        <x:v>GPT 4o mini</x:v>
      </x:c>
      <x:c r="F43" s="12" t="str">
        <x:v>Cohere Multilingual v3.0</x:v>
      </x:c>
      <x:c r="G43" s="31" t="str"/>
      <x:c r="H43" s="31" t="str"/>
      <x:c r="I43" s="31" t="str"/>
      <x:c r="J43" s="31" t="str"/>
      <x:c r="K43" s="31" t="str"/>
      <x:c r="L43" s="31" t="str"/>
      <x:c r="M43" s="31" t="str"/>
      <x:c r="N43" s="39" t="n">
        <x:f>IF(COUNTA(G43:M43)=0,"",ROUND(G43*'Scoring Dictionary'!$E$2+H43*'Scoring Dictionary'!$E$3+I43*'Scoring Dictionary'!$E$4+J43*'Scoring Dictionary'!$E$5+K43*'Scoring Dictionary'!$E$6+L43*'Scoring Dictionary'!$E$7+M43*'Scoring Dictionary'!$E$8,3))</x:f>
        <x:v>0</x:v>
      </x:c>
      <x:c r="O43" s="12" t="str">
        <x:f>IF(N43="","",IF(AND(N43&gt;=0.8,G43&gt;='Scoring Dictionary'!$F$2,I43&gt;='Scoring Dictionary'!$F$4,J43&gt;='Scoring Dictionary'!$F$5),"PASS","FAIL"))</x:f>
      </x:c>
      <x:c r="P43" s="12" t="str"/>
      <x:c r="Q43" s="38" t="str"/>
      <x:c r="R43" s="12" t="str"/>
      <x:c r="S43" s="12" t="str"/>
    </x:row>
    <x:row r="44">
      <x:c r="A44" s="12" t="str">
        <x:v>EXT-043</x:v>
      </x:c>
      <x:c r="B44" s="12" t="str"/>
      <x:c r="C44" s="12" t="str"/>
      <x:c r="D44" s="12" t="str">
        <x:v>Gemini 2.5</x:v>
      </x:c>
      <x:c r="E44" s="12" t="str">
        <x:v>GPT 5.4 mini</x:v>
      </x:c>
      <x:c r="F44" s="12" t="str">
        <x:v>Cohere Multilingual v3.0</x:v>
      </x:c>
      <x:c r="G44" s="31" t="str"/>
      <x:c r="H44" s="31" t="str"/>
      <x:c r="I44" s="31" t="str"/>
      <x:c r="J44" s="31" t="str"/>
      <x:c r="K44" s="31" t="str"/>
      <x:c r="L44" s="31" t="str"/>
      <x:c r="M44" s="31" t="str"/>
      <x:c r="N44" s="39" t="n">
        <x:f>IF(COUNTA(G44:M44)=0,"",ROUND(G44*'Scoring Dictionary'!$E$2+H44*'Scoring Dictionary'!$E$3+I44*'Scoring Dictionary'!$E$4+J44*'Scoring Dictionary'!$E$5+K44*'Scoring Dictionary'!$E$6+L44*'Scoring Dictionary'!$E$7+M44*'Scoring Dictionary'!$E$8,3))</x:f>
        <x:v>0</x:v>
      </x:c>
      <x:c r="O44" s="12" t="str">
        <x:f>IF(N44="","",IF(AND(N44&gt;=0.8,G44&gt;='Scoring Dictionary'!$F$2,I44&gt;='Scoring Dictionary'!$F$4,J44&gt;='Scoring Dictionary'!$F$5),"PASS","FAIL"))</x:f>
      </x:c>
      <x:c r="P44" s="12" t="str"/>
      <x:c r="Q44" s="38" t="str"/>
      <x:c r="R44" s="12" t="str"/>
      <x:c r="S44" s="12" t="str"/>
    </x:row>
    <x:row r="45">
      <x:c r="A45" s="12" t="str">
        <x:v>EXT-044</x:v>
      </x:c>
      <x:c r="B45" s="12" t="str"/>
      <x:c r="C45" s="12" t="str"/>
      <x:c r="D45" s="12" t="str">
        <x:v>Gemini 2.5</x:v>
      </x:c>
      <x:c r="E45" s="12" t="str">
        <x:v>Gemini 2.5</x:v>
      </x:c>
      <x:c r="F45" s="12" t="str">
        <x:v>Cohere Multilingual v3.0</x:v>
      </x:c>
      <x:c r="G45" s="31" t="str"/>
      <x:c r="H45" s="31" t="str"/>
      <x:c r="I45" s="31" t="str"/>
      <x:c r="J45" s="31" t="str"/>
      <x:c r="K45" s="31" t="str"/>
      <x:c r="L45" s="31" t="str"/>
      <x:c r="M45" s="31" t="str"/>
      <x:c r="N45" s="39" t="n">
        <x:f>IF(COUNTA(G45:M45)=0,"",ROUND(G45*'Scoring Dictionary'!$E$2+H45*'Scoring Dictionary'!$E$3+I45*'Scoring Dictionary'!$E$4+J45*'Scoring Dictionary'!$E$5+K45*'Scoring Dictionary'!$E$6+L45*'Scoring Dictionary'!$E$7+M45*'Scoring Dictionary'!$E$8,3))</x:f>
        <x:v>0</x:v>
      </x:c>
      <x:c r="O45" s="12" t="str">
        <x:f>IF(N45="","",IF(AND(N45&gt;=0.8,G45&gt;='Scoring Dictionary'!$F$2,I45&gt;='Scoring Dictionary'!$F$4,J45&gt;='Scoring Dictionary'!$F$5),"PASS","FAIL"))</x:f>
      </x:c>
      <x:c r="P45" s="12" t="str"/>
      <x:c r="Q45" s="38" t="str"/>
      <x:c r="R45" s="12" t="str"/>
      <x:c r="S45" s="12" t="str"/>
    </x:row>
    <x:row r="46">
      <x:c r="A46" s="12" t="str">
        <x:v>EXT-045</x:v>
      </x:c>
      <x:c r="B46" s="12" t="str"/>
      <x:c r="C46" s="12" t="str"/>
      <x:c r="D46" s="12" t="str">
        <x:v>Gemini 2.5</x:v>
      </x:c>
      <x:c r="E46" s="12" t="str">
        <x:v>Gemini 2.5 Flash</x:v>
      </x:c>
      <x:c r="F46" s="12" t="str">
        <x:v>Cohere Multilingual v3.0</x:v>
      </x:c>
      <x:c r="G46" s="31" t="str"/>
      <x:c r="H46" s="31" t="str"/>
      <x:c r="I46" s="31" t="str"/>
      <x:c r="J46" s="31" t="str"/>
      <x:c r="K46" s="31" t="str"/>
      <x:c r="L46" s="31" t="str"/>
      <x:c r="M46" s="31" t="str"/>
      <x:c r="N46" s="39" t="n">
        <x:f>IF(COUNTA(G46:M46)=0,"",ROUND(G46*'Scoring Dictionary'!$E$2+H46*'Scoring Dictionary'!$E$3+I46*'Scoring Dictionary'!$E$4+J46*'Scoring Dictionary'!$E$5+K46*'Scoring Dictionary'!$E$6+L46*'Scoring Dictionary'!$E$7+M46*'Scoring Dictionary'!$E$8,3))</x:f>
        <x:v>0</x:v>
      </x:c>
      <x:c r="O46" s="12" t="str">
        <x:f>IF(N46="","",IF(AND(N46&gt;=0.8,G46&gt;='Scoring Dictionary'!$F$2,I46&gt;='Scoring Dictionary'!$F$4,J46&gt;='Scoring Dictionary'!$F$5),"PASS","FAIL"))</x:f>
      </x:c>
      <x:c r="P46" s="12" t="str"/>
      <x:c r="Q46" s="38" t="str"/>
      <x:c r="R46" s="12" t="str"/>
      <x:c r="S46" s="12" t="str"/>
    </x:row>
    <x:row r="47">
      <x:c r="A47" s="12" t="str">
        <x:v>EXT-046</x:v>
      </x:c>
      <x:c r="B47" s="12" t="str"/>
      <x:c r="C47" s="12" t="str"/>
      <x:c r="D47" s="12" t="str">
        <x:v>Gemini 2.5</x:v>
      </x:c>
      <x:c r="E47" s="12" t="str">
        <x:v>Gemini 2.5 Pro</x:v>
      </x:c>
      <x:c r="F47" s="12" t="str">
        <x:v>Cohere Multilingual v3.0</x:v>
      </x:c>
      <x:c r="G47" s="31" t="str"/>
      <x:c r="H47" s="31" t="str"/>
      <x:c r="I47" s="31" t="str"/>
      <x:c r="J47" s="31" t="str"/>
      <x:c r="K47" s="31" t="str"/>
      <x:c r="L47" s="31" t="str"/>
      <x:c r="M47" s="31" t="str"/>
      <x:c r="N47" s="39" t="n">
        <x:f>IF(COUNTA(G47:M47)=0,"",ROUND(G47*'Scoring Dictionary'!$E$2+H47*'Scoring Dictionary'!$E$3+I47*'Scoring Dictionary'!$E$4+J47*'Scoring Dictionary'!$E$5+K47*'Scoring Dictionary'!$E$6+L47*'Scoring Dictionary'!$E$7+M47*'Scoring Dictionary'!$E$8,3))</x:f>
        <x:v>0</x:v>
      </x:c>
      <x:c r="O47" s="12" t="str">
        <x:f>IF(N47="","",IF(AND(N47&gt;=0.8,G47&gt;='Scoring Dictionary'!$F$2,I47&gt;='Scoring Dictionary'!$F$4,J47&gt;='Scoring Dictionary'!$F$5),"PASS","FAIL"))</x:f>
      </x:c>
      <x:c r="P47" s="12" t="str"/>
      <x:c r="Q47" s="38" t="str"/>
      <x:c r="R47" s="12" t="str"/>
      <x:c r="S47" s="12" t="str"/>
    </x:row>
    <x:row r="48">
      <x:c r="A48" s="12" t="str">
        <x:v>EXT-047</x:v>
      </x:c>
      <x:c r="B48" s="12" t="str"/>
      <x:c r="C48" s="12" t="str"/>
      <x:c r="D48" s="12" t="str">
        <x:v>Gemini 2.5</x:v>
      </x:c>
      <x:c r="E48" s="12" t="str">
        <x:v>Gemini 3.1 Flash Lite</x:v>
      </x:c>
      <x:c r="F48" s="12" t="str">
        <x:v>Cohere Multilingual v3.0</x:v>
      </x:c>
      <x:c r="G48" s="31" t="str"/>
      <x:c r="H48" s="31" t="str"/>
      <x:c r="I48" s="31" t="str"/>
      <x:c r="J48" s="31" t="str"/>
      <x:c r="K48" s="31" t="str"/>
      <x:c r="L48" s="31" t="str"/>
      <x:c r="M48" s="31" t="str"/>
      <x:c r="N48" s="39" t="n">
        <x:f>IF(COUNTA(G48:M48)=0,"",ROUND(G48*'Scoring Dictionary'!$E$2+H48*'Scoring Dictionary'!$E$3+I48*'Scoring Dictionary'!$E$4+J48*'Scoring Dictionary'!$E$5+K48*'Scoring Dictionary'!$E$6+L48*'Scoring Dictionary'!$E$7+M48*'Scoring Dictionary'!$E$8,3))</x:f>
        <x:v>0</x:v>
      </x:c>
      <x:c r="O48" s="12" t="str">
        <x:f>IF(N48="","",IF(AND(N48&gt;=0.8,G48&gt;='Scoring Dictionary'!$F$2,I48&gt;='Scoring Dictionary'!$F$4,J48&gt;='Scoring Dictionary'!$F$5),"PASS","FAIL"))</x:f>
      </x:c>
      <x:c r="P48" s="12" t="str"/>
      <x:c r="Q48" s="38" t="str"/>
      <x:c r="R48" s="12" t="str"/>
      <x:c r="S48" s="12" t="str"/>
    </x:row>
    <x:row r="49">
      <x:c r="A49" s="12" t="str">
        <x:v>EXT-048</x:v>
      </x:c>
      <x:c r="B49" s="12" t="str"/>
      <x:c r="C49" s="12" t="str"/>
      <x:c r="D49" s="12" t="str">
        <x:v>Gemini 2.5</x:v>
      </x:c>
      <x:c r="E49" s="12" t="str">
        <x:v>Gemini 3.5 Flash</x:v>
      </x:c>
      <x:c r="F49" s="12" t="str">
        <x:v>Cohere Multilingual v3.0</x:v>
      </x:c>
      <x:c r="G49" s="31" t="str"/>
      <x:c r="H49" s="31" t="str"/>
      <x:c r="I49" s="31" t="str"/>
      <x:c r="J49" s="31" t="str"/>
      <x:c r="K49" s="31" t="str"/>
      <x:c r="L49" s="31" t="str"/>
      <x:c r="M49" s="31" t="str"/>
      <x:c r="N49" s="39" t="n">
        <x:f>IF(COUNTA(G49:M49)=0,"",ROUND(G49*'Scoring Dictionary'!$E$2+H49*'Scoring Dictionary'!$E$3+I49*'Scoring Dictionary'!$E$4+J49*'Scoring Dictionary'!$E$5+K49*'Scoring Dictionary'!$E$6+L49*'Scoring Dictionary'!$E$7+M49*'Scoring Dictionary'!$E$8,3))</x:f>
        <x:v>0</x:v>
      </x:c>
      <x:c r="O49" s="12" t="str">
        <x:f>IF(N49="","",IF(AND(N49&gt;=0.8,G49&gt;='Scoring Dictionary'!$F$2,I49&gt;='Scoring Dictionary'!$F$4,J49&gt;='Scoring Dictionary'!$F$5),"PASS","FAIL"))</x:f>
      </x:c>
      <x:c r="P49" s="12" t="str"/>
      <x:c r="Q49" s="38" t="str"/>
      <x:c r="R49" s="12" t="str"/>
      <x:c r="S49" s="12" t="str"/>
    </x:row>
    <x:row r="50">
      <x:c r="A50" s="12" t="str">
        <x:v>EXT-049</x:v>
      </x:c>
      <x:c r="B50" s="12" t="str"/>
      <x:c r="C50" s="12" t="str"/>
      <x:c r="D50" s="12" t="str">
        <x:v>Gemini 2.5 Flash</x:v>
      </x:c>
      <x:c r="E50" s="12" t="str">
        <x:v>GPT 4o</x:v>
      </x:c>
      <x:c r="F50" s="12" t="str">
        <x:v>Cohere Multilingual v3.0</x:v>
      </x:c>
      <x:c r="G50" s="31" t="str"/>
      <x:c r="H50" s="31" t="str"/>
      <x:c r="I50" s="31" t="str"/>
      <x:c r="J50" s="31" t="str"/>
      <x:c r="K50" s="31" t="str"/>
      <x:c r="L50" s="31" t="str"/>
      <x:c r="M50" s="31" t="str"/>
      <x:c r="N50" s="39" t="n">
        <x:f>IF(COUNTA(G50:M50)=0,"",ROUND(G50*'Scoring Dictionary'!$E$2+H50*'Scoring Dictionary'!$E$3+I50*'Scoring Dictionary'!$E$4+J50*'Scoring Dictionary'!$E$5+K50*'Scoring Dictionary'!$E$6+L50*'Scoring Dictionary'!$E$7+M50*'Scoring Dictionary'!$E$8,3))</x:f>
        <x:v>0</x:v>
      </x:c>
      <x:c r="O50" s="12" t="str">
        <x:f>IF(N50="","",IF(AND(N50&gt;=0.8,G50&gt;='Scoring Dictionary'!$F$2,I50&gt;='Scoring Dictionary'!$F$4,J50&gt;='Scoring Dictionary'!$F$5),"PASS","FAIL"))</x:f>
      </x:c>
      <x:c r="P50" s="12" t="str"/>
      <x:c r="Q50" s="38" t="str"/>
      <x:c r="R50" s="12" t="str"/>
      <x:c r="S50" s="12" t="str"/>
    </x:row>
    <x:row r="51">
      <x:c r="A51" s="12" t="str">
        <x:v>EXT-050</x:v>
      </x:c>
      <x:c r="B51" s="12" t="str"/>
      <x:c r="C51" s="12" t="str"/>
      <x:c r="D51" s="12" t="str">
        <x:v>Gemini 2.5 Flash</x:v>
      </x:c>
      <x:c r="E51" s="12" t="str">
        <x:v>GPT 4o mini</x:v>
      </x:c>
      <x:c r="F51" s="12" t="str">
        <x:v>Cohere Multilingual v3.0</x:v>
      </x:c>
      <x:c r="G51" s="31" t="str"/>
      <x:c r="H51" s="31" t="str"/>
      <x:c r="I51" s="31" t="str"/>
      <x:c r="J51" s="31" t="str"/>
      <x:c r="K51" s="31" t="str"/>
      <x:c r="L51" s="31" t="str"/>
      <x:c r="M51" s="31" t="str"/>
      <x:c r="N51" s="39" t="n">
        <x:f>IF(COUNTA(G51:M51)=0,"",ROUND(G51*'Scoring Dictionary'!$E$2+H51*'Scoring Dictionary'!$E$3+I51*'Scoring Dictionary'!$E$4+J51*'Scoring Dictionary'!$E$5+K51*'Scoring Dictionary'!$E$6+L51*'Scoring Dictionary'!$E$7+M51*'Scoring Dictionary'!$E$8,3))</x:f>
        <x:v>0</x:v>
      </x:c>
      <x:c r="O51" s="12" t="str">
        <x:f>IF(N51="","",IF(AND(N51&gt;=0.8,G51&gt;='Scoring Dictionary'!$F$2,I51&gt;='Scoring Dictionary'!$F$4,J51&gt;='Scoring Dictionary'!$F$5),"PASS","FAIL"))</x:f>
      </x:c>
      <x:c r="P51" s="12" t="str"/>
      <x:c r="Q51" s="38" t="str"/>
      <x:c r="R51" s="12" t="str"/>
      <x:c r="S51" s="12" t="str"/>
    </x:row>
    <x:row r="52">
      <x:c r="A52" s="12" t="str">
        <x:v>EXT-051</x:v>
      </x:c>
      <x:c r="B52" s="12" t="str"/>
      <x:c r="C52" s="12" t="str"/>
      <x:c r="D52" s="12" t="str">
        <x:v>Gemini 2.5 Flash</x:v>
      </x:c>
      <x:c r="E52" s="12" t="str">
        <x:v>GPT 5.4 mini</x:v>
      </x:c>
      <x:c r="F52" s="12" t="str">
        <x:v>Cohere Multilingual v3.0</x:v>
      </x:c>
      <x:c r="G52" s="31" t="str"/>
      <x:c r="H52" s="31" t="str"/>
      <x:c r="I52" s="31" t="str"/>
      <x:c r="J52" s="31" t="str"/>
      <x:c r="K52" s="31" t="str"/>
      <x:c r="L52" s="31" t="str"/>
      <x:c r="M52" s="31" t="str"/>
      <x:c r="N52" s="39" t="n">
        <x:f>IF(COUNTA(G52:M52)=0,"",ROUND(G52*'Scoring Dictionary'!$E$2+H52*'Scoring Dictionary'!$E$3+I52*'Scoring Dictionary'!$E$4+J52*'Scoring Dictionary'!$E$5+K52*'Scoring Dictionary'!$E$6+L52*'Scoring Dictionary'!$E$7+M52*'Scoring Dictionary'!$E$8,3))</x:f>
        <x:v>0</x:v>
      </x:c>
      <x:c r="O52" s="12" t="str">
        <x:f>IF(N52="","",IF(AND(N52&gt;=0.8,G52&gt;='Scoring Dictionary'!$F$2,I52&gt;='Scoring Dictionary'!$F$4,J52&gt;='Scoring Dictionary'!$F$5),"PASS","FAIL"))</x:f>
      </x:c>
      <x:c r="P52" s="12" t="str"/>
      <x:c r="Q52" s="38" t="str"/>
      <x:c r="R52" s="12" t="str"/>
      <x:c r="S52" s="12" t="str"/>
    </x:row>
    <x:row r="53">
      <x:c r="A53" s="12" t="str">
        <x:v>EXT-052</x:v>
      </x:c>
      <x:c r="B53" s="12" t="str"/>
      <x:c r="C53" s="12" t="str"/>
      <x:c r="D53" s="12" t="str">
        <x:v>Gemini 2.5 Flash</x:v>
      </x:c>
      <x:c r="E53" s="12" t="str">
        <x:v>Gemini 2.5</x:v>
      </x:c>
      <x:c r="F53" s="12" t="str">
        <x:v>Cohere Multilingual v3.0</x:v>
      </x:c>
      <x:c r="G53" s="31" t="str"/>
      <x:c r="H53" s="31" t="str"/>
      <x:c r="I53" s="31" t="str"/>
      <x:c r="J53" s="31" t="str"/>
      <x:c r="K53" s="31" t="str"/>
      <x:c r="L53" s="31" t="str"/>
      <x:c r="M53" s="31" t="str"/>
      <x:c r="N53" s="39" t="n">
        <x:f>IF(COUNTA(G53:M53)=0,"",ROUND(G53*'Scoring Dictionary'!$E$2+H53*'Scoring Dictionary'!$E$3+I53*'Scoring Dictionary'!$E$4+J53*'Scoring Dictionary'!$E$5+K53*'Scoring Dictionary'!$E$6+L53*'Scoring Dictionary'!$E$7+M53*'Scoring Dictionary'!$E$8,3))</x:f>
        <x:v>0</x:v>
      </x:c>
      <x:c r="O53" s="12" t="str">
        <x:f>IF(N53="","",IF(AND(N53&gt;=0.8,G53&gt;='Scoring Dictionary'!$F$2,I53&gt;='Scoring Dictionary'!$F$4,J53&gt;='Scoring Dictionary'!$F$5),"PASS","FAIL"))</x:f>
      </x:c>
      <x:c r="P53" s="12" t="str"/>
      <x:c r="Q53" s="38" t="str"/>
      <x:c r="R53" s="12" t="str"/>
      <x:c r="S53" s="12" t="str"/>
    </x:row>
    <x:row r="54">
      <x:c r="A54" s="12" t="str">
        <x:v>EXT-053</x:v>
      </x:c>
      <x:c r="B54" s="12" t="str"/>
      <x:c r="C54" s="12" t="str"/>
      <x:c r="D54" s="12" t="str">
        <x:v>Gemini 2.5 Flash</x:v>
      </x:c>
      <x:c r="E54" s="12" t="str">
        <x:v>Gemini 2.5 Flash</x:v>
      </x:c>
      <x:c r="F54" s="12" t="str">
        <x:v>Cohere Multilingual v3.0</x:v>
      </x:c>
      <x:c r="G54" s="31" t="str"/>
      <x:c r="H54" s="31" t="str"/>
      <x:c r="I54" s="31" t="str"/>
      <x:c r="J54" s="31" t="str"/>
      <x:c r="K54" s="31" t="str"/>
      <x:c r="L54" s="31" t="str"/>
      <x:c r="M54" s="31" t="str"/>
      <x:c r="N54" s="39" t="n">
        <x:f>IF(COUNTA(G54:M54)=0,"",ROUND(G54*'Scoring Dictionary'!$E$2+H54*'Scoring Dictionary'!$E$3+I54*'Scoring Dictionary'!$E$4+J54*'Scoring Dictionary'!$E$5+K54*'Scoring Dictionary'!$E$6+L54*'Scoring Dictionary'!$E$7+M54*'Scoring Dictionary'!$E$8,3))</x:f>
        <x:v>0</x:v>
      </x:c>
      <x:c r="O54" s="12" t="str">
        <x:f>IF(N54="","",IF(AND(N54&gt;=0.8,G54&gt;='Scoring Dictionary'!$F$2,I54&gt;='Scoring Dictionary'!$F$4,J54&gt;='Scoring Dictionary'!$F$5),"PASS","FAIL"))</x:f>
      </x:c>
      <x:c r="P54" s="12" t="str"/>
      <x:c r="Q54" s="38" t="str"/>
      <x:c r="R54" s="12" t="str"/>
      <x:c r="S54" s="12" t="str"/>
    </x:row>
    <x:row r="55">
      <x:c r="A55" s="12" t="str">
        <x:v>EXT-054</x:v>
      </x:c>
      <x:c r="B55" s="12" t="str"/>
      <x:c r="C55" s="12" t="str"/>
      <x:c r="D55" s="12" t="str">
        <x:v>Gemini 2.5 Flash</x:v>
      </x:c>
      <x:c r="E55" s="12" t="str">
        <x:v>Gemini 2.5 Pro</x:v>
      </x:c>
      <x:c r="F55" s="12" t="str">
        <x:v>Cohere Multilingual v3.0</x:v>
      </x:c>
      <x:c r="G55" s="31" t="str"/>
      <x:c r="H55" s="31" t="str"/>
      <x:c r="I55" s="31" t="str"/>
      <x:c r="J55" s="31" t="str"/>
      <x:c r="K55" s="31" t="str"/>
      <x:c r="L55" s="31" t="str"/>
      <x:c r="M55" s="31" t="str"/>
      <x:c r="N55" s="39" t="n">
        <x:f>IF(COUNTA(G55:M55)=0,"",ROUND(G55*'Scoring Dictionary'!$E$2+H55*'Scoring Dictionary'!$E$3+I55*'Scoring Dictionary'!$E$4+J55*'Scoring Dictionary'!$E$5+K55*'Scoring Dictionary'!$E$6+L55*'Scoring Dictionary'!$E$7+M55*'Scoring Dictionary'!$E$8,3))</x:f>
        <x:v>0</x:v>
      </x:c>
      <x:c r="O55" s="12" t="str">
        <x:f>IF(N55="","",IF(AND(N55&gt;=0.8,G55&gt;='Scoring Dictionary'!$F$2,I55&gt;='Scoring Dictionary'!$F$4,J55&gt;='Scoring Dictionary'!$F$5),"PASS","FAIL"))</x:f>
      </x:c>
      <x:c r="P55" s="12" t="str"/>
      <x:c r="Q55" s="38" t="str"/>
      <x:c r="R55" s="12" t="str"/>
      <x:c r="S55" s="12" t="str"/>
    </x:row>
    <x:row r="56">
      <x:c r="A56" s="12" t="str">
        <x:v>EXT-055</x:v>
      </x:c>
      <x:c r="B56" s="12" t="str"/>
      <x:c r="C56" s="12" t="str"/>
      <x:c r="D56" s="12" t="str">
        <x:v>Gemini 2.5 Flash</x:v>
      </x:c>
      <x:c r="E56" s="12" t="str">
        <x:v>Gemini 3.1 Flash Lite</x:v>
      </x:c>
      <x:c r="F56" s="12" t="str">
        <x:v>Cohere Multilingual v3.0</x:v>
      </x:c>
      <x:c r="G56" s="31" t="str"/>
      <x:c r="H56" s="31" t="str"/>
      <x:c r="I56" s="31" t="str"/>
      <x:c r="J56" s="31" t="str"/>
      <x:c r="K56" s="31" t="str"/>
      <x:c r="L56" s="31" t="str"/>
      <x:c r="M56" s="31" t="str"/>
      <x:c r="N56" s="39" t="n">
        <x:f>IF(COUNTA(G56:M56)=0,"",ROUND(G56*'Scoring Dictionary'!$E$2+H56*'Scoring Dictionary'!$E$3+I56*'Scoring Dictionary'!$E$4+J56*'Scoring Dictionary'!$E$5+K56*'Scoring Dictionary'!$E$6+L56*'Scoring Dictionary'!$E$7+M56*'Scoring Dictionary'!$E$8,3))</x:f>
        <x:v>0</x:v>
      </x:c>
      <x:c r="O56" s="12" t="str">
        <x:f>IF(N56="","",IF(AND(N56&gt;=0.8,G56&gt;='Scoring Dictionary'!$F$2,I56&gt;='Scoring Dictionary'!$F$4,J56&gt;='Scoring Dictionary'!$F$5),"PASS","FAIL"))</x:f>
      </x:c>
      <x:c r="P56" s="12" t="str"/>
      <x:c r="Q56" s="38" t="str"/>
      <x:c r="R56" s="12" t="str"/>
      <x:c r="S56" s="12" t="str"/>
    </x:row>
    <x:row r="57">
      <x:c r="A57" s="12" t="str">
        <x:v>EXT-056</x:v>
      </x:c>
      <x:c r="B57" s="12" t="str"/>
      <x:c r="C57" s="12" t="str"/>
      <x:c r="D57" s="12" t="str">
        <x:v>Gemini 2.5 Flash</x:v>
      </x:c>
      <x:c r="E57" s="12" t="str">
        <x:v>Gemini 3.5 Flash</x:v>
      </x:c>
      <x:c r="F57" s="12" t="str">
        <x:v>Cohere Multilingual v3.0</x:v>
      </x:c>
      <x:c r="G57" s="31" t="str"/>
      <x:c r="H57" s="31" t="str"/>
      <x:c r="I57" s="31" t="str"/>
      <x:c r="J57" s="31" t="str"/>
      <x:c r="K57" s="31" t="str"/>
      <x:c r="L57" s="31" t="str"/>
      <x:c r="M57" s="31" t="str"/>
      <x:c r="N57" s="39" t="n">
        <x:f>IF(COUNTA(G57:M57)=0,"",ROUND(G57*'Scoring Dictionary'!$E$2+H57*'Scoring Dictionary'!$E$3+I57*'Scoring Dictionary'!$E$4+J57*'Scoring Dictionary'!$E$5+K57*'Scoring Dictionary'!$E$6+L57*'Scoring Dictionary'!$E$7+M57*'Scoring Dictionary'!$E$8,3))</x:f>
        <x:v>0</x:v>
      </x:c>
      <x:c r="O57" s="12" t="str">
        <x:f>IF(N57="","",IF(AND(N57&gt;=0.8,G57&gt;='Scoring Dictionary'!$F$2,I57&gt;='Scoring Dictionary'!$F$4,J57&gt;='Scoring Dictionary'!$F$5),"PASS","FAIL"))</x:f>
      </x:c>
      <x:c r="P57" s="12" t="str"/>
      <x:c r="Q57" s="38" t="str"/>
      <x:c r="R57" s="12" t="str"/>
      <x:c r="S57" s="12" t="str"/>
    </x:row>
    <x:row r="58">
      <x:c r="A58" s="12" t="str">
        <x:v>EXT-057</x:v>
      </x:c>
      <x:c r="B58" s="12" t="str"/>
      <x:c r="C58" s="12" t="str"/>
      <x:c r="D58" s="12" t="str">
        <x:v>Gemini 2.5 Pro</x:v>
      </x:c>
      <x:c r="E58" s="12" t="str">
        <x:v>GPT 4o</x:v>
      </x:c>
      <x:c r="F58" s="12" t="str">
        <x:v>Cohere Multilingual v3.0</x:v>
      </x:c>
      <x:c r="G58" s="31" t="str"/>
      <x:c r="H58" s="31" t="str"/>
      <x:c r="I58" s="31" t="str"/>
      <x:c r="J58" s="31" t="str"/>
      <x:c r="K58" s="31" t="str"/>
      <x:c r="L58" s="31" t="str"/>
      <x:c r="M58" s="31" t="str"/>
      <x:c r="N58" s="39" t="n">
        <x:f>IF(COUNTA(G58:M58)=0,"",ROUND(G58*'Scoring Dictionary'!$E$2+H58*'Scoring Dictionary'!$E$3+I58*'Scoring Dictionary'!$E$4+J58*'Scoring Dictionary'!$E$5+K58*'Scoring Dictionary'!$E$6+L58*'Scoring Dictionary'!$E$7+M58*'Scoring Dictionary'!$E$8,3))</x:f>
        <x:v>0</x:v>
      </x:c>
      <x:c r="O58" s="12" t="str">
        <x:f>IF(N58="","",IF(AND(N58&gt;=0.8,G58&gt;='Scoring Dictionary'!$F$2,I58&gt;='Scoring Dictionary'!$F$4,J58&gt;='Scoring Dictionary'!$F$5),"PASS","FAIL"))</x:f>
      </x:c>
      <x:c r="P58" s="12" t="str"/>
      <x:c r="Q58" s="38" t="str"/>
      <x:c r="R58" s="12" t="str"/>
      <x:c r="S58" s="12" t="str"/>
    </x:row>
    <x:row r="59">
      <x:c r="A59" s="12" t="str">
        <x:v>EXT-058</x:v>
      </x:c>
      <x:c r="B59" s="12" t="str"/>
      <x:c r="C59" s="12" t="str"/>
      <x:c r="D59" s="12" t="str">
        <x:v>Gemini 2.5 Pro</x:v>
      </x:c>
      <x:c r="E59" s="12" t="str">
        <x:v>GPT 4o mini</x:v>
      </x:c>
      <x:c r="F59" s="12" t="str">
        <x:v>Cohere Multilingual v3.0</x:v>
      </x:c>
      <x:c r="G59" s="31" t="str"/>
      <x:c r="H59" s="31" t="str"/>
      <x:c r="I59" s="31" t="str"/>
      <x:c r="J59" s="31" t="str"/>
      <x:c r="K59" s="31" t="str"/>
      <x:c r="L59" s="31" t="str"/>
      <x:c r="M59" s="31" t="str"/>
      <x:c r="N59" s="39" t="n">
        <x:f>IF(COUNTA(G59:M59)=0,"",ROUND(G59*'Scoring Dictionary'!$E$2+H59*'Scoring Dictionary'!$E$3+I59*'Scoring Dictionary'!$E$4+J59*'Scoring Dictionary'!$E$5+K59*'Scoring Dictionary'!$E$6+L59*'Scoring Dictionary'!$E$7+M59*'Scoring Dictionary'!$E$8,3))</x:f>
        <x:v>0</x:v>
      </x:c>
      <x:c r="O59" s="12" t="str">
        <x:f>IF(N59="","",IF(AND(N59&gt;=0.8,G59&gt;='Scoring Dictionary'!$F$2,I59&gt;='Scoring Dictionary'!$F$4,J59&gt;='Scoring Dictionary'!$F$5),"PASS","FAIL"))</x:f>
      </x:c>
      <x:c r="P59" s="12" t="str"/>
      <x:c r="Q59" s="38" t="str"/>
      <x:c r="R59" s="12" t="str"/>
      <x:c r="S59" s="12" t="str"/>
    </x:row>
    <x:row r="60">
      <x:c r="A60" s="12" t="str">
        <x:v>EXT-059</x:v>
      </x:c>
      <x:c r="B60" s="12" t="str"/>
      <x:c r="C60" s="12" t="str"/>
      <x:c r="D60" s="12" t="str">
        <x:v>Gemini 2.5 Pro</x:v>
      </x:c>
      <x:c r="E60" s="12" t="str">
        <x:v>GPT 5.4 mini</x:v>
      </x:c>
      <x:c r="F60" s="12" t="str">
        <x:v>Cohere Multilingual v3.0</x:v>
      </x:c>
      <x:c r="G60" s="31" t="str"/>
      <x:c r="H60" s="31" t="str"/>
      <x:c r="I60" s="31" t="str"/>
      <x:c r="J60" s="31" t="str"/>
      <x:c r="K60" s="31" t="str"/>
      <x:c r="L60" s="31" t="str"/>
      <x:c r="M60" s="31" t="str"/>
      <x:c r="N60" s="39" t="n">
        <x:f>IF(COUNTA(G60:M60)=0,"",ROUND(G60*'Scoring Dictionary'!$E$2+H60*'Scoring Dictionary'!$E$3+I60*'Scoring Dictionary'!$E$4+J60*'Scoring Dictionary'!$E$5+K60*'Scoring Dictionary'!$E$6+L60*'Scoring Dictionary'!$E$7+M60*'Scoring Dictionary'!$E$8,3))</x:f>
        <x:v>0</x:v>
      </x:c>
      <x:c r="O60" s="12" t="str">
        <x:f>IF(N60="","",IF(AND(N60&gt;=0.8,G60&gt;='Scoring Dictionary'!$F$2,I60&gt;='Scoring Dictionary'!$F$4,J60&gt;='Scoring Dictionary'!$F$5),"PASS","FAIL"))</x:f>
      </x:c>
      <x:c r="P60" s="12" t="str"/>
      <x:c r="Q60" s="38" t="str"/>
      <x:c r="R60" s="12" t="str"/>
      <x:c r="S60" s="12" t="str"/>
    </x:row>
    <x:row r="61">
      <x:c r="A61" s="12" t="str">
        <x:v>EXT-060</x:v>
      </x:c>
      <x:c r="B61" s="12" t="str"/>
      <x:c r="C61" s="12" t="str"/>
      <x:c r="D61" s="12" t="str">
        <x:v>Gemini 2.5 Pro</x:v>
      </x:c>
      <x:c r="E61" s="12" t="str">
        <x:v>Gemini 2.5</x:v>
      </x:c>
      <x:c r="F61" s="12" t="str">
        <x:v>Cohere Multilingual v3.0</x:v>
      </x:c>
      <x:c r="G61" s="31" t="str"/>
      <x:c r="H61" s="31" t="str"/>
      <x:c r="I61" s="31" t="str"/>
      <x:c r="J61" s="31" t="str"/>
      <x:c r="K61" s="31" t="str"/>
      <x:c r="L61" s="31" t="str"/>
      <x:c r="M61" s="31" t="str"/>
      <x:c r="N61" s="39" t="n">
        <x:f>IF(COUNTA(G61:M61)=0,"",ROUND(G61*'Scoring Dictionary'!$E$2+H61*'Scoring Dictionary'!$E$3+I61*'Scoring Dictionary'!$E$4+J61*'Scoring Dictionary'!$E$5+K61*'Scoring Dictionary'!$E$6+L61*'Scoring Dictionary'!$E$7+M61*'Scoring Dictionary'!$E$8,3))</x:f>
        <x:v>0</x:v>
      </x:c>
      <x:c r="O61" s="12" t="str">
        <x:f>IF(N61="","",IF(AND(N61&gt;=0.8,G61&gt;='Scoring Dictionary'!$F$2,I61&gt;='Scoring Dictionary'!$F$4,J61&gt;='Scoring Dictionary'!$F$5),"PASS","FAIL"))</x:f>
      </x:c>
      <x:c r="P61" s="12" t="str"/>
      <x:c r="Q61" s="38" t="str"/>
      <x:c r="R61" s="12" t="str"/>
      <x:c r="S61" s="12" t="str"/>
    </x:row>
    <x:row r="62">
      <x:c r="A62" s="12" t="str">
        <x:v>EXT-061</x:v>
      </x:c>
      <x:c r="B62" s="12" t="str"/>
      <x:c r="C62" s="12" t="str"/>
      <x:c r="D62" s="12" t="str">
        <x:v>Gemini 2.5 Pro</x:v>
      </x:c>
      <x:c r="E62" s="12" t="str">
        <x:v>Gemini 2.5 Flash</x:v>
      </x:c>
      <x:c r="F62" s="12" t="str">
        <x:v>Cohere Multilingual v3.0</x:v>
      </x:c>
      <x:c r="G62" s="31" t="str"/>
      <x:c r="H62" s="31" t="str"/>
      <x:c r="I62" s="31" t="str"/>
      <x:c r="J62" s="31" t="str"/>
      <x:c r="K62" s="31" t="str"/>
      <x:c r="L62" s="31" t="str"/>
      <x:c r="M62" s="31" t="str"/>
      <x:c r="N62" s="39" t="n">
        <x:f>IF(COUNTA(G62:M62)=0,"",ROUND(G62*'Scoring Dictionary'!$E$2+H62*'Scoring Dictionary'!$E$3+I62*'Scoring Dictionary'!$E$4+J62*'Scoring Dictionary'!$E$5+K62*'Scoring Dictionary'!$E$6+L62*'Scoring Dictionary'!$E$7+M62*'Scoring Dictionary'!$E$8,3))</x:f>
        <x:v>0</x:v>
      </x:c>
      <x:c r="O62" s="12" t="str">
        <x:f>IF(N62="","",IF(AND(N62&gt;=0.8,G62&gt;='Scoring Dictionary'!$F$2,I62&gt;='Scoring Dictionary'!$F$4,J62&gt;='Scoring Dictionary'!$F$5),"PASS","FAIL"))</x:f>
      </x:c>
      <x:c r="P62" s="12" t="str"/>
      <x:c r="Q62" s="38" t="str"/>
      <x:c r="R62" s="12" t="str"/>
      <x:c r="S62" s="12" t="str"/>
    </x:row>
    <x:row r="63">
      <x:c r="A63" s="12" t="str">
        <x:v>EXT-062</x:v>
      </x:c>
      <x:c r="B63" s="12" t="str"/>
      <x:c r="C63" s="12" t="str"/>
      <x:c r="D63" s="12" t="str">
        <x:v>Gemini 2.5 Pro</x:v>
      </x:c>
      <x:c r="E63" s="12" t="str">
        <x:v>Gemini 2.5 Pro</x:v>
      </x:c>
      <x:c r="F63" s="12" t="str">
        <x:v>Cohere Multilingual v3.0</x:v>
      </x:c>
      <x:c r="G63" s="31" t="str"/>
      <x:c r="H63" s="31" t="str"/>
      <x:c r="I63" s="31" t="str"/>
      <x:c r="J63" s="31" t="str"/>
      <x:c r="K63" s="31" t="str"/>
      <x:c r="L63" s="31" t="str"/>
      <x:c r="M63" s="31" t="str"/>
      <x:c r="N63" s="39" t="n">
        <x:f>IF(COUNTA(G63:M63)=0,"",ROUND(G63*'Scoring Dictionary'!$E$2+H63*'Scoring Dictionary'!$E$3+I63*'Scoring Dictionary'!$E$4+J63*'Scoring Dictionary'!$E$5+K63*'Scoring Dictionary'!$E$6+L63*'Scoring Dictionary'!$E$7+M63*'Scoring Dictionary'!$E$8,3))</x:f>
        <x:v>0</x:v>
      </x:c>
      <x:c r="O63" s="12" t="str">
        <x:f>IF(N63="","",IF(AND(N63&gt;=0.8,G63&gt;='Scoring Dictionary'!$F$2,I63&gt;='Scoring Dictionary'!$F$4,J63&gt;='Scoring Dictionary'!$F$5),"PASS","FAIL"))</x:f>
      </x:c>
      <x:c r="P63" s="12" t="str"/>
      <x:c r="Q63" s="38" t="str"/>
      <x:c r="R63" s="12" t="str"/>
      <x:c r="S63" s="12" t="str"/>
    </x:row>
    <x:row r="64">
      <x:c r="A64" s="12" t="str">
        <x:v>EXT-063</x:v>
      </x:c>
      <x:c r="B64" s="12" t="str"/>
      <x:c r="C64" s="12" t="str"/>
      <x:c r="D64" s="12" t="str">
        <x:v>Gemini 2.5 Pro</x:v>
      </x:c>
      <x:c r="E64" s="12" t="str">
        <x:v>Gemini 3.1 Flash Lite</x:v>
      </x:c>
      <x:c r="F64" s="12" t="str">
        <x:v>Cohere Multilingual v3.0</x:v>
      </x:c>
      <x:c r="G64" s="31" t="str"/>
      <x:c r="H64" s="31" t="str"/>
      <x:c r="I64" s="31" t="str"/>
      <x:c r="J64" s="31" t="str"/>
      <x:c r="K64" s="31" t="str"/>
      <x:c r="L64" s="31" t="str"/>
      <x:c r="M64" s="31" t="str"/>
      <x:c r="N64" s="39" t="n">
        <x:f>IF(COUNTA(G64:M64)=0,"",ROUND(G64*'Scoring Dictionary'!$E$2+H64*'Scoring Dictionary'!$E$3+I64*'Scoring Dictionary'!$E$4+J64*'Scoring Dictionary'!$E$5+K64*'Scoring Dictionary'!$E$6+L64*'Scoring Dictionary'!$E$7+M64*'Scoring Dictionary'!$E$8,3))</x:f>
        <x:v>0</x:v>
      </x:c>
      <x:c r="O64" s="12" t="str">
        <x:f>IF(N64="","",IF(AND(N64&gt;=0.8,G64&gt;='Scoring Dictionary'!$F$2,I64&gt;='Scoring Dictionary'!$F$4,J64&gt;='Scoring Dictionary'!$F$5),"PASS","FAIL"))</x:f>
      </x:c>
      <x:c r="P64" s="12" t="str"/>
      <x:c r="Q64" s="38" t="str"/>
      <x:c r="R64" s="12" t="str"/>
      <x:c r="S64" s="12" t="str"/>
    </x:row>
    <x:row r="65">
      <x:c r="A65" s="12" t="str">
        <x:v>EXT-064</x:v>
      </x:c>
      <x:c r="B65" s="12" t="str"/>
      <x:c r="C65" s="12" t="str"/>
      <x:c r="D65" s="12" t="str">
        <x:v>Gemini 2.5 Pro</x:v>
      </x:c>
      <x:c r="E65" s="12" t="str">
        <x:v>Gemini 3.5 Flash</x:v>
      </x:c>
      <x:c r="F65" s="12" t="str">
        <x:v>Cohere Multilingual v3.0</x:v>
      </x:c>
      <x:c r="G65" s="31" t="str"/>
      <x:c r="H65" s="31" t="str"/>
      <x:c r="I65" s="31" t="str"/>
      <x:c r="J65" s="31" t="str"/>
      <x:c r="K65" s="31" t="str"/>
      <x:c r="L65" s="31" t="str"/>
      <x:c r="M65" s="31" t="str"/>
      <x:c r="N65" s="39" t="n">
        <x:f>IF(COUNTA(G65:M65)=0,"",ROUND(G65*'Scoring Dictionary'!$E$2+H65*'Scoring Dictionary'!$E$3+I65*'Scoring Dictionary'!$E$4+J65*'Scoring Dictionary'!$E$5+K65*'Scoring Dictionary'!$E$6+L65*'Scoring Dictionary'!$E$7+M65*'Scoring Dictionary'!$E$8,3))</x:f>
        <x:v>0</x:v>
      </x:c>
      <x:c r="O65" s="12" t="str">
        <x:f>IF(N65="","",IF(AND(N65&gt;=0.8,G65&gt;='Scoring Dictionary'!$F$2,I65&gt;='Scoring Dictionary'!$F$4,J65&gt;='Scoring Dictionary'!$F$5),"PASS","FAIL"))</x:f>
      </x:c>
      <x:c r="P65" s="12" t="str"/>
      <x:c r="Q65" s="38" t="str"/>
      <x:c r="R65" s="12" t="str"/>
      <x:c r="S65" s="12" t="str"/>
    </x:row>
    <x:row r="66">
      <x:c r="A66" s="12" t="str">
        <x:v>EXT-065</x:v>
      </x:c>
      <x:c r="B66" s="12" t="str"/>
      <x:c r="C66" s="12" t="str"/>
      <x:c r="D66" s="12" t="str">
        <x:v>Gemini 3.1 Flash Lite</x:v>
      </x:c>
      <x:c r="E66" s="12" t="str">
        <x:v>GPT 4o</x:v>
      </x:c>
      <x:c r="F66" s="12" t="str">
        <x:v>Cohere Multilingual v3.0</x:v>
      </x:c>
      <x:c r="G66" s="31" t="str"/>
      <x:c r="H66" s="31" t="str"/>
      <x:c r="I66" s="31" t="str"/>
      <x:c r="J66" s="31" t="str"/>
      <x:c r="K66" s="31" t="str"/>
      <x:c r="L66" s="31" t="str"/>
      <x:c r="M66" s="31" t="str"/>
      <x:c r="N66" s="39" t="n">
        <x:f>IF(COUNTA(G66:M66)=0,"",ROUND(G66*'Scoring Dictionary'!$E$2+H66*'Scoring Dictionary'!$E$3+I66*'Scoring Dictionary'!$E$4+J66*'Scoring Dictionary'!$E$5+K66*'Scoring Dictionary'!$E$6+L66*'Scoring Dictionary'!$E$7+M66*'Scoring Dictionary'!$E$8,3))</x:f>
        <x:v>0</x:v>
      </x:c>
      <x:c r="O66" s="12" t="str">
        <x:f>IF(N66="","",IF(AND(N66&gt;=0.8,G66&gt;='Scoring Dictionary'!$F$2,I66&gt;='Scoring Dictionary'!$F$4,J66&gt;='Scoring Dictionary'!$F$5),"PASS","FAIL"))</x:f>
      </x:c>
      <x:c r="P66" s="12" t="str"/>
      <x:c r="Q66" s="38" t="str"/>
      <x:c r="R66" s="12" t="str"/>
      <x:c r="S66" s="12" t="str"/>
    </x:row>
    <x:row r="67">
      <x:c r="A67" s="12" t="str">
        <x:v>EXT-066</x:v>
      </x:c>
      <x:c r="B67" s="12" t="str"/>
      <x:c r="C67" s="12" t="str"/>
      <x:c r="D67" s="12" t="str">
        <x:v>Gemini 3.1 Flash Lite</x:v>
      </x:c>
      <x:c r="E67" s="12" t="str">
        <x:v>GPT 4o mini</x:v>
      </x:c>
      <x:c r="F67" s="12" t="str">
        <x:v>Cohere Multilingual v3.0</x:v>
      </x:c>
      <x:c r="G67" s="31" t="str"/>
      <x:c r="H67" s="31" t="str"/>
      <x:c r="I67" s="31" t="str"/>
      <x:c r="J67" s="31" t="str"/>
      <x:c r="K67" s="31" t="str"/>
      <x:c r="L67" s="31" t="str"/>
      <x:c r="M67" s="31" t="str"/>
      <x:c r="N67" s="39" t="n">
        <x:f>IF(COUNTA(G67:M67)=0,"",ROUND(G67*'Scoring Dictionary'!$E$2+H67*'Scoring Dictionary'!$E$3+I67*'Scoring Dictionary'!$E$4+J67*'Scoring Dictionary'!$E$5+K67*'Scoring Dictionary'!$E$6+L67*'Scoring Dictionary'!$E$7+M67*'Scoring Dictionary'!$E$8,3))</x:f>
        <x:v>0</x:v>
      </x:c>
      <x:c r="O67" s="12" t="str">
        <x:f>IF(N67="","",IF(AND(N67&gt;=0.8,G67&gt;='Scoring Dictionary'!$F$2,I67&gt;='Scoring Dictionary'!$F$4,J67&gt;='Scoring Dictionary'!$F$5),"PASS","FAIL"))</x:f>
      </x:c>
      <x:c r="P67" s="12" t="str"/>
      <x:c r="Q67" s="38" t="str"/>
      <x:c r="R67" s="12" t="str"/>
      <x:c r="S67" s="12" t="str"/>
    </x:row>
    <x:row r="68">
      <x:c r="A68" s="12" t="str">
        <x:v>EXT-067</x:v>
      </x:c>
      <x:c r="B68" s="12" t="str"/>
      <x:c r="C68" s="12" t="str"/>
      <x:c r="D68" s="12" t="str">
        <x:v>Gemini 3.1 Flash Lite</x:v>
      </x:c>
      <x:c r="E68" s="12" t="str">
        <x:v>GPT 5.4 mini</x:v>
      </x:c>
      <x:c r="F68" s="12" t="str">
        <x:v>Cohere Multilingual v3.0</x:v>
      </x:c>
      <x:c r="G68" s="31" t="str"/>
      <x:c r="H68" s="31" t="str"/>
      <x:c r="I68" s="31" t="str"/>
      <x:c r="J68" s="31" t="str"/>
      <x:c r="K68" s="31" t="str"/>
      <x:c r="L68" s="31" t="str"/>
      <x:c r="M68" s="31" t="str"/>
      <x:c r="N68" s="39" t="n">
        <x:f>IF(COUNTA(G68:M68)=0,"",ROUND(G68*'Scoring Dictionary'!$E$2+H68*'Scoring Dictionary'!$E$3+I68*'Scoring Dictionary'!$E$4+J68*'Scoring Dictionary'!$E$5+K68*'Scoring Dictionary'!$E$6+L68*'Scoring Dictionary'!$E$7+M68*'Scoring Dictionary'!$E$8,3))</x:f>
        <x:v>0</x:v>
      </x:c>
      <x:c r="O68" s="12" t="str">
        <x:f>IF(N68="","",IF(AND(N68&gt;=0.8,G68&gt;='Scoring Dictionary'!$F$2,I68&gt;='Scoring Dictionary'!$F$4,J68&gt;='Scoring Dictionary'!$F$5),"PASS","FAIL"))</x:f>
      </x:c>
      <x:c r="P68" s="12" t="str"/>
      <x:c r="Q68" s="38" t="str"/>
      <x:c r="R68" s="12" t="str"/>
      <x:c r="S68" s="12" t="str"/>
    </x:row>
    <x:row r="69">
      <x:c r="A69" s="12" t="str">
        <x:v>EXT-068</x:v>
      </x:c>
      <x:c r="B69" s="12" t="str"/>
      <x:c r="C69" s="12" t="str"/>
      <x:c r="D69" s="12" t="str">
        <x:v>Gemini 3.1 Flash Lite</x:v>
      </x:c>
      <x:c r="E69" s="12" t="str">
        <x:v>Gemini 2.5</x:v>
      </x:c>
      <x:c r="F69" s="12" t="str">
        <x:v>Cohere Multilingual v3.0</x:v>
      </x:c>
      <x:c r="G69" s="31" t="str"/>
      <x:c r="H69" s="31" t="str"/>
      <x:c r="I69" s="31" t="str"/>
      <x:c r="J69" s="31" t="str"/>
      <x:c r="K69" s="31" t="str"/>
      <x:c r="L69" s="31" t="str"/>
      <x:c r="M69" s="31" t="str"/>
      <x:c r="N69" s="39" t="n">
        <x:f>IF(COUNTA(G69:M69)=0,"",ROUND(G69*'Scoring Dictionary'!$E$2+H69*'Scoring Dictionary'!$E$3+I69*'Scoring Dictionary'!$E$4+J69*'Scoring Dictionary'!$E$5+K69*'Scoring Dictionary'!$E$6+L69*'Scoring Dictionary'!$E$7+M69*'Scoring Dictionary'!$E$8,3))</x:f>
        <x:v>0</x:v>
      </x:c>
      <x:c r="O69" s="12" t="str">
        <x:f>IF(N69="","",IF(AND(N69&gt;=0.8,G69&gt;='Scoring Dictionary'!$F$2,I69&gt;='Scoring Dictionary'!$F$4,J69&gt;='Scoring Dictionary'!$F$5),"PASS","FAIL"))</x:f>
      </x:c>
      <x:c r="P69" s="12" t="str"/>
      <x:c r="Q69" s="38" t="str"/>
      <x:c r="R69" s="12" t="str"/>
      <x:c r="S69" s="12" t="str"/>
    </x:row>
    <x:row r="70">
      <x:c r="A70" s="12" t="str">
        <x:v>EXT-069</x:v>
      </x:c>
      <x:c r="B70" s="12" t="str"/>
      <x:c r="C70" s="12" t="str"/>
      <x:c r="D70" s="12" t="str">
        <x:v>Gemini 3.1 Flash Lite</x:v>
      </x:c>
      <x:c r="E70" s="12" t="str">
        <x:v>Gemini 2.5 Flash</x:v>
      </x:c>
      <x:c r="F70" s="12" t="str">
        <x:v>Cohere Multilingual v3.0</x:v>
      </x:c>
      <x:c r="G70" s="31" t="str"/>
      <x:c r="H70" s="31" t="str"/>
      <x:c r="I70" s="31" t="str"/>
      <x:c r="J70" s="31" t="str"/>
      <x:c r="K70" s="31" t="str"/>
      <x:c r="L70" s="31" t="str"/>
      <x:c r="M70" s="31" t="str"/>
      <x:c r="N70" s="39" t="n">
        <x:f>IF(COUNTA(G70:M70)=0,"",ROUND(G70*'Scoring Dictionary'!$E$2+H70*'Scoring Dictionary'!$E$3+I70*'Scoring Dictionary'!$E$4+J70*'Scoring Dictionary'!$E$5+K70*'Scoring Dictionary'!$E$6+L70*'Scoring Dictionary'!$E$7+M70*'Scoring Dictionary'!$E$8,3))</x:f>
        <x:v>0</x:v>
      </x:c>
      <x:c r="O70" s="12" t="str">
        <x:f>IF(N70="","",IF(AND(N70&gt;=0.8,G70&gt;='Scoring Dictionary'!$F$2,I70&gt;='Scoring Dictionary'!$F$4,J70&gt;='Scoring Dictionary'!$F$5),"PASS","FAIL"))</x:f>
      </x:c>
      <x:c r="P70" s="12" t="str"/>
      <x:c r="Q70" s="38" t="str"/>
      <x:c r="R70" s="12" t="str"/>
      <x:c r="S70" s="12" t="str"/>
    </x:row>
    <x:row r="71">
      <x:c r="A71" s="12" t="str">
        <x:v>EXT-070</x:v>
      </x:c>
      <x:c r="B71" s="12" t="str"/>
      <x:c r="C71" s="12" t="str"/>
      <x:c r="D71" s="12" t="str">
        <x:v>Gemini 3.1 Flash Lite</x:v>
      </x:c>
      <x:c r="E71" s="12" t="str">
        <x:v>Gemini 2.5 Pro</x:v>
      </x:c>
      <x:c r="F71" s="12" t="str">
        <x:v>Cohere Multilingual v3.0</x:v>
      </x:c>
      <x:c r="G71" s="31" t="str"/>
      <x:c r="H71" s="31" t="str"/>
      <x:c r="I71" s="31" t="str"/>
      <x:c r="J71" s="31" t="str"/>
      <x:c r="K71" s="31" t="str"/>
      <x:c r="L71" s="31" t="str"/>
      <x:c r="M71" s="31" t="str"/>
      <x:c r="N71" s="39" t="n">
        <x:f>IF(COUNTA(G71:M71)=0,"",ROUND(G71*'Scoring Dictionary'!$E$2+H71*'Scoring Dictionary'!$E$3+I71*'Scoring Dictionary'!$E$4+J71*'Scoring Dictionary'!$E$5+K71*'Scoring Dictionary'!$E$6+L71*'Scoring Dictionary'!$E$7+M71*'Scoring Dictionary'!$E$8,3))</x:f>
        <x:v>0</x:v>
      </x:c>
      <x:c r="O71" s="12" t="str">
        <x:f>IF(N71="","",IF(AND(N71&gt;=0.8,G71&gt;='Scoring Dictionary'!$F$2,I71&gt;='Scoring Dictionary'!$F$4,J71&gt;='Scoring Dictionary'!$F$5),"PASS","FAIL"))</x:f>
      </x:c>
      <x:c r="P71" s="12" t="str"/>
      <x:c r="Q71" s="38" t="str"/>
      <x:c r="R71" s="12" t="str"/>
      <x:c r="S71" s="12" t="str"/>
    </x:row>
    <x:row r="72">
      <x:c r="A72" s="12" t="str">
        <x:v>EXT-071</x:v>
      </x:c>
      <x:c r="B72" s="12" t="str"/>
      <x:c r="C72" s="12" t="str"/>
      <x:c r="D72" s="12" t="str">
        <x:v>Gemini 3.1 Flash Lite</x:v>
      </x:c>
      <x:c r="E72" s="12" t="str">
        <x:v>Gemini 3.1 Flash Lite</x:v>
      </x:c>
      <x:c r="F72" s="12" t="str">
        <x:v>Cohere Multilingual v3.0</x:v>
      </x:c>
      <x:c r="G72" s="31" t="str"/>
      <x:c r="H72" s="31" t="str"/>
      <x:c r="I72" s="31" t="str"/>
      <x:c r="J72" s="31" t="str"/>
      <x:c r="K72" s="31" t="str"/>
      <x:c r="L72" s="31" t="str"/>
      <x:c r="M72" s="31" t="str"/>
      <x:c r="N72" s="39" t="n">
        <x:f>IF(COUNTA(G72:M72)=0,"",ROUND(G72*'Scoring Dictionary'!$E$2+H72*'Scoring Dictionary'!$E$3+I72*'Scoring Dictionary'!$E$4+J72*'Scoring Dictionary'!$E$5+K72*'Scoring Dictionary'!$E$6+L72*'Scoring Dictionary'!$E$7+M72*'Scoring Dictionary'!$E$8,3))</x:f>
        <x:v>0</x:v>
      </x:c>
      <x:c r="O72" s="12" t="str">
        <x:f>IF(N72="","",IF(AND(N72&gt;=0.8,G72&gt;='Scoring Dictionary'!$F$2,I72&gt;='Scoring Dictionary'!$F$4,J72&gt;='Scoring Dictionary'!$F$5),"PASS","FAIL"))</x:f>
      </x:c>
      <x:c r="P72" s="12" t="str"/>
      <x:c r="Q72" s="38" t="str"/>
      <x:c r="R72" s="12" t="str"/>
      <x:c r="S72" s="12" t="str"/>
    </x:row>
    <x:row r="73">
      <x:c r="A73" s="12" t="str">
        <x:v>EXT-072</x:v>
      </x:c>
      <x:c r="B73" s="12" t="str"/>
      <x:c r="C73" s="12" t="str"/>
      <x:c r="D73" s="12" t="str">
        <x:v>Gemini 3.1 Flash Lite</x:v>
      </x:c>
      <x:c r="E73" s="12" t="str">
        <x:v>Gemini 3.5 Flash</x:v>
      </x:c>
      <x:c r="F73" s="12" t="str">
        <x:v>Cohere Multilingual v3.0</x:v>
      </x:c>
      <x:c r="G73" s="31" t="str"/>
      <x:c r="H73" s="31" t="str"/>
      <x:c r="I73" s="31" t="str"/>
      <x:c r="J73" s="31" t="str"/>
      <x:c r="K73" s="31" t="str"/>
      <x:c r="L73" s="31" t="str"/>
      <x:c r="M73" s="31" t="str"/>
      <x:c r="N73" s="39" t="n">
        <x:f>IF(COUNTA(G73:M73)=0,"",ROUND(G73*'Scoring Dictionary'!$E$2+H73*'Scoring Dictionary'!$E$3+I73*'Scoring Dictionary'!$E$4+J73*'Scoring Dictionary'!$E$5+K73*'Scoring Dictionary'!$E$6+L73*'Scoring Dictionary'!$E$7+M73*'Scoring Dictionary'!$E$8,3))</x:f>
        <x:v>0</x:v>
      </x:c>
      <x:c r="O73" s="12" t="str">
        <x:f>IF(N73="","",IF(AND(N73&gt;=0.8,G73&gt;='Scoring Dictionary'!$F$2,I73&gt;='Scoring Dictionary'!$F$4,J73&gt;='Scoring Dictionary'!$F$5),"PASS","FAIL"))</x:f>
      </x:c>
      <x:c r="P73" s="12" t="str"/>
      <x:c r="Q73" s="38" t="str"/>
      <x:c r="R73" s="12" t="str"/>
      <x:c r="S73" s="12" t="str"/>
    </x:row>
    <x:row r="74">
      <x:c r="A74" s="12" t="str">
        <x:v>EXT-073</x:v>
      </x:c>
      <x:c r="B74" s="12" t="str"/>
      <x:c r="C74" s="12" t="str"/>
      <x:c r="D74" s="12" t="str">
        <x:v>Gemini 3.5 Flash</x:v>
      </x:c>
      <x:c r="E74" s="12" t="str">
        <x:v>GPT 4o</x:v>
      </x:c>
      <x:c r="F74" s="12" t="str">
        <x:v>Cohere Multilingual v3.0</x:v>
      </x:c>
      <x:c r="G74" s="31" t="str"/>
      <x:c r="H74" s="31" t="str"/>
      <x:c r="I74" s="31" t="str"/>
      <x:c r="J74" s="31" t="str"/>
      <x:c r="K74" s="31" t="str"/>
      <x:c r="L74" s="31" t="str"/>
      <x:c r="M74" s="31" t="str"/>
      <x:c r="N74" s="39" t="n">
        <x:f>IF(COUNTA(G74:M74)=0,"",ROUND(G74*'Scoring Dictionary'!$E$2+H74*'Scoring Dictionary'!$E$3+I74*'Scoring Dictionary'!$E$4+J74*'Scoring Dictionary'!$E$5+K74*'Scoring Dictionary'!$E$6+L74*'Scoring Dictionary'!$E$7+M74*'Scoring Dictionary'!$E$8,3))</x:f>
        <x:v>0</x:v>
      </x:c>
      <x:c r="O74" s="12" t="str">
        <x:f>IF(N74="","",IF(AND(N74&gt;=0.8,G74&gt;='Scoring Dictionary'!$F$2,I74&gt;='Scoring Dictionary'!$F$4,J74&gt;='Scoring Dictionary'!$F$5),"PASS","FAIL"))</x:f>
      </x:c>
      <x:c r="P74" s="12" t="str"/>
      <x:c r="Q74" s="38" t="str"/>
      <x:c r="R74" s="12" t="str"/>
      <x:c r="S74" s="12" t="str"/>
    </x:row>
    <x:row r="75">
      <x:c r="A75" s="12" t="str">
        <x:v>EXT-074</x:v>
      </x:c>
      <x:c r="B75" s="12" t="str"/>
      <x:c r="C75" s="12" t="str"/>
      <x:c r="D75" s="12" t="str">
        <x:v>Gemini 3.5 Flash</x:v>
      </x:c>
      <x:c r="E75" s="12" t="str">
        <x:v>GPT 4o mini</x:v>
      </x:c>
      <x:c r="F75" s="12" t="str">
        <x:v>Cohere Multilingual v3.0</x:v>
      </x:c>
      <x:c r="G75" s="31" t="str"/>
      <x:c r="H75" s="31" t="str"/>
      <x:c r="I75" s="31" t="str"/>
      <x:c r="J75" s="31" t="str"/>
      <x:c r="K75" s="31" t="str"/>
      <x:c r="L75" s="31" t="str"/>
      <x:c r="M75" s="31" t="str"/>
      <x:c r="N75" s="39" t="n">
        <x:f>IF(COUNTA(G75:M75)=0,"",ROUND(G75*'Scoring Dictionary'!$E$2+H75*'Scoring Dictionary'!$E$3+I75*'Scoring Dictionary'!$E$4+J75*'Scoring Dictionary'!$E$5+K75*'Scoring Dictionary'!$E$6+L75*'Scoring Dictionary'!$E$7+M75*'Scoring Dictionary'!$E$8,3))</x:f>
        <x:v>0</x:v>
      </x:c>
      <x:c r="O75" s="12" t="str">
        <x:f>IF(N75="","",IF(AND(N75&gt;=0.8,G75&gt;='Scoring Dictionary'!$F$2,I75&gt;='Scoring Dictionary'!$F$4,J75&gt;='Scoring Dictionary'!$F$5),"PASS","FAIL"))</x:f>
      </x:c>
      <x:c r="P75" s="12" t="str"/>
      <x:c r="Q75" s="38" t="str"/>
      <x:c r="R75" s="12" t="str"/>
      <x:c r="S75" s="12" t="str"/>
    </x:row>
    <x:row r="76">
      <x:c r="A76" s="12" t="str">
        <x:v>EXT-075</x:v>
      </x:c>
      <x:c r="B76" s="12" t="str"/>
      <x:c r="C76" s="12" t="str"/>
      <x:c r="D76" s="12" t="str">
        <x:v>Gemini 3.5 Flash</x:v>
      </x:c>
      <x:c r="E76" s="12" t="str">
        <x:v>GPT 5.4 mini</x:v>
      </x:c>
      <x:c r="F76" s="12" t="str">
        <x:v>Cohere Multilingual v3.0</x:v>
      </x:c>
      <x:c r="G76" s="31" t="str"/>
      <x:c r="H76" s="31" t="str"/>
      <x:c r="I76" s="31" t="str"/>
      <x:c r="J76" s="31" t="str"/>
      <x:c r="K76" s="31" t="str"/>
      <x:c r="L76" s="31" t="str"/>
      <x:c r="M76" s="31" t="str"/>
      <x:c r="N76" s="39" t="n">
        <x:f>IF(COUNTA(G76:M76)=0,"",ROUND(G76*'Scoring Dictionary'!$E$2+H76*'Scoring Dictionary'!$E$3+I76*'Scoring Dictionary'!$E$4+J76*'Scoring Dictionary'!$E$5+K76*'Scoring Dictionary'!$E$6+L76*'Scoring Dictionary'!$E$7+M76*'Scoring Dictionary'!$E$8,3))</x:f>
        <x:v>0</x:v>
      </x:c>
      <x:c r="O76" s="12" t="str">
        <x:f>IF(N76="","",IF(AND(N76&gt;=0.8,G76&gt;='Scoring Dictionary'!$F$2,I76&gt;='Scoring Dictionary'!$F$4,J76&gt;='Scoring Dictionary'!$F$5),"PASS","FAIL"))</x:f>
      </x:c>
      <x:c r="P76" s="12" t="str"/>
      <x:c r="Q76" s="38" t="str"/>
      <x:c r="R76" s="12" t="str"/>
      <x:c r="S76" s="12" t="str"/>
    </x:row>
    <x:row r="77">
      <x:c r="A77" s="12" t="str">
        <x:v>EXT-076</x:v>
      </x:c>
      <x:c r="B77" s="12" t="str"/>
      <x:c r="C77" s="12" t="str"/>
      <x:c r="D77" s="12" t="str">
        <x:v>Gemini 3.5 Flash</x:v>
      </x:c>
      <x:c r="E77" s="12" t="str">
        <x:v>Gemini 2.5</x:v>
      </x:c>
      <x:c r="F77" s="12" t="str">
        <x:v>Cohere Multilingual v3.0</x:v>
      </x:c>
      <x:c r="G77" s="31" t="str"/>
      <x:c r="H77" s="31" t="str"/>
      <x:c r="I77" s="31" t="str"/>
      <x:c r="J77" s="31" t="str"/>
      <x:c r="K77" s="31" t="str"/>
      <x:c r="L77" s="31" t="str"/>
      <x:c r="M77" s="31" t="str"/>
      <x:c r="N77" s="39" t="n">
        <x:f>IF(COUNTA(G77:M77)=0,"",ROUND(G77*'Scoring Dictionary'!$E$2+H77*'Scoring Dictionary'!$E$3+I77*'Scoring Dictionary'!$E$4+J77*'Scoring Dictionary'!$E$5+K77*'Scoring Dictionary'!$E$6+L77*'Scoring Dictionary'!$E$7+M77*'Scoring Dictionary'!$E$8,3))</x:f>
        <x:v>0</x:v>
      </x:c>
      <x:c r="O77" s="12" t="str">
        <x:f>IF(N77="","",IF(AND(N77&gt;=0.8,G77&gt;='Scoring Dictionary'!$F$2,I77&gt;='Scoring Dictionary'!$F$4,J77&gt;='Scoring Dictionary'!$F$5),"PASS","FAIL"))</x:f>
      </x:c>
      <x:c r="P77" s="12" t="str"/>
      <x:c r="Q77" s="38" t="str"/>
      <x:c r="R77" s="12" t="str"/>
      <x:c r="S77" s="12" t="str"/>
    </x:row>
    <x:row r="78">
      <x:c r="A78" s="12" t="str">
        <x:v>EXT-077</x:v>
      </x:c>
      <x:c r="B78" s="12" t="str"/>
      <x:c r="C78" s="12" t="str"/>
      <x:c r="D78" s="12" t="str">
        <x:v>Gemini 3.5 Flash</x:v>
      </x:c>
      <x:c r="E78" s="12" t="str">
        <x:v>Gemini 2.5 Flash</x:v>
      </x:c>
      <x:c r="F78" s="12" t="str">
        <x:v>Cohere Multilingual v3.0</x:v>
      </x:c>
      <x:c r="G78" s="31" t="str"/>
      <x:c r="H78" s="31" t="str"/>
      <x:c r="I78" s="31" t="str"/>
      <x:c r="J78" s="31" t="str"/>
      <x:c r="K78" s="31" t="str"/>
      <x:c r="L78" s="31" t="str"/>
      <x:c r="M78" s="31" t="str"/>
      <x:c r="N78" s="39" t="n">
        <x:f>IF(COUNTA(G78:M78)=0,"",ROUND(G78*'Scoring Dictionary'!$E$2+H78*'Scoring Dictionary'!$E$3+I78*'Scoring Dictionary'!$E$4+J78*'Scoring Dictionary'!$E$5+K78*'Scoring Dictionary'!$E$6+L78*'Scoring Dictionary'!$E$7+M78*'Scoring Dictionary'!$E$8,3))</x:f>
        <x:v>0</x:v>
      </x:c>
      <x:c r="O78" s="12" t="str">
        <x:f>IF(N78="","",IF(AND(N78&gt;=0.8,G78&gt;='Scoring Dictionary'!$F$2,I78&gt;='Scoring Dictionary'!$F$4,J78&gt;='Scoring Dictionary'!$F$5),"PASS","FAIL"))</x:f>
      </x:c>
      <x:c r="P78" s="12" t="str"/>
      <x:c r="Q78" s="38" t="str"/>
      <x:c r="R78" s="12" t="str"/>
      <x:c r="S78" s="12" t="str"/>
    </x:row>
    <x:row r="79">
      <x:c r="A79" s="12" t="str">
        <x:v>EXT-078</x:v>
      </x:c>
      <x:c r="B79" s="12" t="str"/>
      <x:c r="C79" s="12" t="str"/>
      <x:c r="D79" s="12" t="str">
        <x:v>Gemini 3.5 Flash</x:v>
      </x:c>
      <x:c r="E79" s="12" t="str">
        <x:v>Gemini 2.5 Pro</x:v>
      </x:c>
      <x:c r="F79" s="12" t="str">
        <x:v>Cohere Multilingual v3.0</x:v>
      </x:c>
      <x:c r="G79" s="31" t="str"/>
      <x:c r="H79" s="31" t="str"/>
      <x:c r="I79" s="31" t="str"/>
      <x:c r="J79" s="31" t="str"/>
      <x:c r="K79" s="31" t="str"/>
      <x:c r="L79" s="31" t="str"/>
      <x:c r="M79" s="31" t="str"/>
      <x:c r="N79" s="39" t="n">
        <x:f>IF(COUNTA(G79:M79)=0,"",ROUND(G79*'Scoring Dictionary'!$E$2+H79*'Scoring Dictionary'!$E$3+I79*'Scoring Dictionary'!$E$4+J79*'Scoring Dictionary'!$E$5+K79*'Scoring Dictionary'!$E$6+L79*'Scoring Dictionary'!$E$7+M79*'Scoring Dictionary'!$E$8,3))</x:f>
        <x:v>0</x:v>
      </x:c>
      <x:c r="O79" s="12" t="str">
        <x:f>IF(N79="","",IF(AND(N79&gt;=0.8,G79&gt;='Scoring Dictionary'!$F$2,I79&gt;='Scoring Dictionary'!$F$4,J79&gt;='Scoring Dictionary'!$F$5),"PASS","FAIL"))</x:f>
      </x:c>
      <x:c r="P79" s="12" t="str"/>
      <x:c r="Q79" s="38" t="str"/>
      <x:c r="R79" s="12" t="str"/>
      <x:c r="S79" s="12" t="str"/>
    </x:row>
    <x:row r="80">
      <x:c r="A80" s="12" t="str">
        <x:v>EXT-079</x:v>
      </x:c>
      <x:c r="B80" s="12" t="str"/>
      <x:c r="C80" s="12" t="str"/>
      <x:c r="D80" s="12" t="str">
        <x:v>Gemini 3.5 Flash</x:v>
      </x:c>
      <x:c r="E80" s="12" t="str">
        <x:v>Gemini 3.1 Flash Lite</x:v>
      </x:c>
      <x:c r="F80" s="12" t="str">
        <x:v>Cohere Multilingual v3.0</x:v>
      </x:c>
      <x:c r="G80" s="31" t="str"/>
      <x:c r="H80" s="31" t="str"/>
      <x:c r="I80" s="31" t="str"/>
      <x:c r="J80" s="31" t="str"/>
      <x:c r="K80" s="31" t="str"/>
      <x:c r="L80" s="31" t="str"/>
      <x:c r="M80" s="31" t="str"/>
      <x:c r="N80" s="39" t="n">
        <x:f>IF(COUNTA(G80:M80)=0,"",ROUND(G80*'Scoring Dictionary'!$E$2+H80*'Scoring Dictionary'!$E$3+I80*'Scoring Dictionary'!$E$4+J80*'Scoring Dictionary'!$E$5+K80*'Scoring Dictionary'!$E$6+L80*'Scoring Dictionary'!$E$7+M80*'Scoring Dictionary'!$E$8,3))</x:f>
        <x:v>0</x:v>
      </x:c>
      <x:c r="O80" s="12" t="str">
        <x:f>IF(N80="","",IF(AND(N80&gt;=0.8,G80&gt;='Scoring Dictionary'!$F$2,I80&gt;='Scoring Dictionary'!$F$4,J80&gt;='Scoring Dictionary'!$F$5),"PASS","FAIL"))</x:f>
      </x:c>
      <x:c r="P80" s="12" t="str"/>
      <x:c r="Q80" s="38" t="str"/>
      <x:c r="R80" s="12" t="str"/>
      <x:c r="S80" s="12" t="str"/>
    </x:row>
    <x:row r="81">
      <x:c r="A81" s="12" t="str">
        <x:v>EXT-080</x:v>
      </x:c>
      <x:c r="B81" s="12" t="str"/>
      <x:c r="C81" s="12" t="str"/>
      <x:c r="D81" s="12" t="str">
        <x:v>Gemini 3.5 Flash</x:v>
      </x:c>
      <x:c r="E81" s="12" t="str">
        <x:v>Gemini 3.5 Flash</x:v>
      </x:c>
      <x:c r="F81" s="12" t="str">
        <x:v>Cohere Multilingual v3.0</x:v>
      </x:c>
      <x:c r="G81" s="31" t="str"/>
      <x:c r="H81" s="31" t="str"/>
      <x:c r="I81" s="31" t="str"/>
      <x:c r="J81" s="31" t="str"/>
      <x:c r="K81" s="31" t="str"/>
      <x:c r="L81" s="31" t="str"/>
      <x:c r="M81" s="31" t="str"/>
      <x:c r="N81" s="39" t="n">
        <x:f>IF(COUNTA(G81:M81)=0,"",ROUND(G81*'Scoring Dictionary'!$E$2+H81*'Scoring Dictionary'!$E$3+I81*'Scoring Dictionary'!$E$4+J81*'Scoring Dictionary'!$E$5+K81*'Scoring Dictionary'!$E$6+L81*'Scoring Dictionary'!$E$7+M81*'Scoring Dictionary'!$E$8,3))</x:f>
        <x:v>0</x:v>
      </x:c>
      <x:c r="O81" s="12" t="str">
        <x:f>IF(N81="","",IF(AND(N81&gt;=0.8,G81&gt;='Scoring Dictionary'!$F$2,I81&gt;='Scoring Dictionary'!$F$4,J81&gt;='Scoring Dictionary'!$F$5),"PASS","FAIL"))</x:f>
      </x:c>
      <x:c r="P81" s="12" t="str"/>
      <x:c r="Q81" s="38" t="str"/>
      <x:c r="R81" s="12" t="str"/>
      <x:c r="S81" s="12" t="str"/>
    </x:row>
  </x:sheetData>
  <x:conditionalFormatting sqref="N2:N81">
    <x:cfRule type="cellIs" dxfId="0" priority="1" operator="greaterThanOrEqual">
      <x:formula>0.8</x:formula>
    </x:cfRule>
    <x:cfRule type="cellIs" dxfId="1" priority="2" operator="between">
      <x:formula>0.0001</x:formula>
      <x:formula>0.7999</x:formula>
    </x:cfRule>
  </x:conditionalFormatting>
  <x:conditionalFormatting sqref="O2:O81">
    <x:cfRule type="containsText" dxfId="2" priority="3" operator="containsText" text="PASS"/>
    <x:cfRule type="containsText" dxfId="3" priority="4" operator="containsText" text="FAIL"/>
  </x:conditionalFormatting>
  <x:dataValidations count="3">
    <x:dataValidation type="list" sqref="B2:B81">
      <x:formula1>"Case 01,Case 02,Case 03,Case 04,Case 05,Case 06"</x:formula1>
    </x:dataValidation>
    <x:dataValidation type="list" sqref="C2:C81">
      <x:formula1>"PDF,DOCX,PPTX,Image,Mixed"</x:formula1>
    </x:dataValidation>
    <x:dataValidation type="list" sqref="S2:S81">
      <x:formula1>"High,Medium,Low"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6" hidden="0" customWidth="1"/>
    <x:col min="20" max="20" width="14" hidden="0" customWidth="1"/>
    <x:col min="21" max="21" width="36" hidden="0" customWidth="1"/>
  </x:cols>
  <x:sheetData>
    <x:row r="1">
      <x:c r="A1" s="45" t="str">
        <x:v>test_id</x:v>
      </x:c>
      <x:c r="B1" s="45" t="str">
        <x:v>scenario_type</x:v>
      </x:c>
      <x:c r="C1" s="45" t="str">
        <x:v>subject_code</x:v>
      </x:c>
      <x:c r="D1" s="45" t="str">
        <x:v>question_type</x:v>
      </x:c>
      <x:c r="E1" s="45" t="str">
        <x:v>difficulty</x:v>
      </x:c>
      <x:c r="F1" s="45" t="str">
        <x:v>generator_model</x:v>
      </x:c>
      <x:c r="G1" s="45" t="str">
        <x:v>reviewer_model</x:v>
      </x:c>
      <x:c r="H1" s="45" t="str">
        <x:v>schema_valid_rate</x:v>
      </x:c>
      <x:c r="I1" s="45" t="str">
        <x:v>grounded_rate</x:v>
      </x:c>
      <x:c r="J1" s="45" t="str">
        <x:v>difficulty_alignment_score</x:v>
      </x:c>
      <x:c r="K1" s="45" t="str">
        <x:v>topic_relevance_score</x:v>
      </x:c>
      <x:c r="L1" s="45" t="str">
        <x:v>question_clarity_score</x:v>
      </x:c>
      <x:c r="M1" s="45" t="str">
        <x:v>question_usefulness_score</x:v>
      </x:c>
      <x:c r="N1" s="45" t="str">
        <x:v>distractor_quality_score</x:v>
      </x:c>
      <x:c r="O1" s="45" t="str">
        <x:v>testcase_quality_score</x:v>
      </x:c>
      <x:c r="P1" s="45" t="str">
        <x:v>rule_based_pass_rate</x:v>
      </x:c>
      <x:c r="Q1" s="45" t="str">
        <x:v>final_quality_score</x:v>
      </x:c>
      <x:c r="R1" s="45" t="str">
        <x:v>pass_fail</x:v>
      </x:c>
      <x:c r="S1" s="45" t="str">
        <x:v>tester</x:v>
      </x:c>
      <x:c r="T1" s="45" t="str">
        <x:v>test_date</x:v>
      </x:c>
      <x:c r="U1" s="45" t="str">
        <x:v>notes</x:v>
      </x:c>
    </x:row>
    <x:row r="2">
      <x:c r="A2" s="12" t="str">
        <x:v>GEN-001</x:v>
      </x:c>
      <x:c r="B2" s="12" t="str">
        <x:v>SameModelDualRole</x:v>
      </x:c>
      <x:c r="C2" s="12" t="str"/>
      <x:c r="D2" s="12" t="str"/>
      <x:c r="E2" s="12" t="str"/>
      <x:c r="F2" s="12" t="str">
        <x:v>GPT 4o</x:v>
      </x:c>
      <x:c r="G2" s="12" t="str">
        <x:v>GPT 4o</x:v>
      </x:c>
      <x:c r="H2" s="31" t="str"/>
      <x:c r="I2" s="31" t="str"/>
      <x:c r="J2" s="31" t="str"/>
      <x:c r="K2" s="31" t="str"/>
      <x:c r="L2" s="31" t="str"/>
      <x:c r="M2" s="31" t="str"/>
      <x:c r="N2" s="31" t="str"/>
      <x:c r="O2" s="31" t="str"/>
      <x:c r="P2" s="31" t="str"/>
      <x:c r="Q2" s="39" t="n">
        <x:f>IF(COUNTA(H2:P2)=0,"",ROUND(IF(D2="FE",H2*0.15+I2*0.23+J2*0.15+K2*0.15+L2*0.10+M2*0.10+N2*0.07+P2*0.05,IF(D2="PE",H2*0.15+I2*0.23+J2*0.15+K2*0.15+L2*0.08+M2*0.10+O2*0.09+P2*0.05,H2*'Scoring Dictionary'!$E$9+I2*'Scoring Dictionary'!$E$10+J2*'Scoring Dictionary'!$E$11+K2*'Scoring Dictionary'!$E$12+L2*'Scoring Dictionary'!$E$13+M2*'Scoring Dictionary'!$E$14+P2*'Scoring Dictionary'!$E$17)),3))</x:f>
        <x:v>0</x:v>
      </x:c>
      <x:c r="R2" s="12" t="str">
        <x:f>IF(Q2="","",IF(AND(Q2&gt;=0.8,H2&gt;='Scoring Dictionary'!$F$9,I2&gt;='Scoring Dictionary'!$F$10,P2&gt;='Scoring Dictionary'!$F$17),"PASS","FAIL"))</x:f>
      </x:c>
      <x:c r="S2" s="12" t="str"/>
      <x:c r="T2" s="38" t="str"/>
      <x:c r="U2" s="12" t="str"/>
    </x:row>
    <x:row r="3">
      <x:c r="A3" s="12" t="str">
        <x:v>GEN-002</x:v>
      </x:c>
      <x:c r="B3" s="12" t="str">
        <x:v>SameModelDualRole</x:v>
      </x:c>
      <x:c r="C3" s="12" t="str"/>
      <x:c r="D3" s="12" t="str"/>
      <x:c r="E3" s="12" t="str"/>
      <x:c r="F3" s="12" t="str">
        <x:v>GPT 4o mini</x:v>
      </x:c>
      <x:c r="G3" s="12" t="str">
        <x:v>GPT 4o mini</x:v>
      </x:c>
      <x:c r="H3" s="31" t="str"/>
      <x:c r="I3" s="31" t="str"/>
      <x:c r="J3" s="31" t="str"/>
      <x:c r="K3" s="31" t="str"/>
      <x:c r="L3" s="31" t="str"/>
      <x:c r="M3" s="31" t="str"/>
      <x:c r="N3" s="31" t="str"/>
      <x:c r="O3" s="31" t="str"/>
      <x:c r="P3" s="31" t="str"/>
      <x:c r="Q3" s="39" t="n">
        <x:f>IF(COUNTA(H3:P3)=0,"",ROUND(IF(D3="FE",H3*0.15+I3*0.23+J3*0.15+K3*0.15+L3*0.10+M3*0.10+N3*0.07+P3*0.05,IF(D3="PE",H3*0.15+I3*0.23+J3*0.15+K3*0.15+L3*0.08+M3*0.10+O3*0.09+P3*0.05,H3*'Scoring Dictionary'!$E$9+I3*'Scoring Dictionary'!$E$10+J3*'Scoring Dictionary'!$E$11+K3*'Scoring Dictionary'!$E$12+L3*'Scoring Dictionary'!$E$13+M3*'Scoring Dictionary'!$E$14+P3*'Scoring Dictionary'!$E$17)),3))</x:f>
        <x:v>0</x:v>
      </x:c>
      <x:c r="R3" s="12" t="str">
        <x:f>IF(Q3="","",IF(AND(Q3&gt;=0.8,H3&gt;='Scoring Dictionary'!$F$9,I3&gt;='Scoring Dictionary'!$F$10,P3&gt;='Scoring Dictionary'!$F$17),"PASS","FAIL"))</x:f>
      </x:c>
      <x:c r="S3" s="12" t="str"/>
      <x:c r="T3" s="38" t="str"/>
      <x:c r="U3" s="12" t="str"/>
    </x:row>
    <x:row r="4">
      <x:c r="A4" s="12" t="str">
        <x:v>GEN-003</x:v>
      </x:c>
      <x:c r="B4" s="12" t="str">
        <x:v>SameModelDualRole</x:v>
      </x:c>
      <x:c r="C4" s="12" t="str"/>
      <x:c r="D4" s="12" t="str"/>
      <x:c r="E4" s="12" t="str"/>
      <x:c r="F4" s="12" t="str">
        <x:v>GPT 5.4</x:v>
      </x:c>
      <x:c r="G4" s="12" t="str">
        <x:v>GPT 5.4</x:v>
      </x:c>
      <x:c r="H4" s="31" t="str"/>
      <x:c r="I4" s="31" t="str"/>
      <x:c r="J4" s="31" t="str"/>
      <x:c r="K4" s="31" t="str"/>
      <x:c r="L4" s="31" t="str"/>
      <x:c r="M4" s="31" t="str"/>
      <x:c r="N4" s="31" t="str"/>
      <x:c r="O4" s="31" t="str"/>
      <x:c r="P4" s="31" t="str"/>
      <x:c r="Q4" s="39" t="n">
        <x:f>IF(COUNTA(H4:P4)=0,"",ROUND(IF(D4="FE",H4*0.15+I4*0.23+J4*0.15+K4*0.15+L4*0.10+M4*0.10+N4*0.07+P4*0.05,IF(D4="PE",H4*0.15+I4*0.23+J4*0.15+K4*0.15+L4*0.08+M4*0.10+O4*0.09+P4*0.05,H4*'Scoring Dictionary'!$E$9+I4*'Scoring Dictionary'!$E$10+J4*'Scoring Dictionary'!$E$11+K4*'Scoring Dictionary'!$E$12+L4*'Scoring Dictionary'!$E$13+M4*'Scoring Dictionary'!$E$14+P4*'Scoring Dictionary'!$E$17)),3))</x:f>
        <x:v>0</x:v>
      </x:c>
      <x:c r="R4" s="12" t="str">
        <x:f>IF(Q4="","",IF(AND(Q4&gt;=0.8,H4&gt;='Scoring Dictionary'!$F$9,I4&gt;='Scoring Dictionary'!$F$10,P4&gt;='Scoring Dictionary'!$F$17),"PASS","FAIL"))</x:f>
      </x:c>
      <x:c r="S4" s="12" t="str"/>
      <x:c r="T4" s="38" t="str"/>
      <x:c r="U4" s="12" t="str"/>
    </x:row>
    <x:row r="5">
      <x:c r="A5" s="12" t="str">
        <x:v>GEN-004</x:v>
      </x:c>
      <x:c r="B5" s="12" t="str">
        <x:v>SameModelDualRole</x:v>
      </x:c>
      <x:c r="C5" s="12" t="str"/>
      <x:c r="D5" s="12" t="str"/>
      <x:c r="E5" s="12" t="str"/>
      <x:c r="F5" s="12" t="str">
        <x:v>GPT 5.4 mini</x:v>
      </x:c>
      <x:c r="G5" s="12" t="str">
        <x:v>GPT 5.4 mini</x:v>
      </x:c>
      <x:c r="H5" s="31" t="str"/>
      <x:c r="I5" s="31" t="str"/>
      <x:c r="J5" s="31" t="str"/>
      <x:c r="K5" s="31" t="str"/>
      <x:c r="L5" s="31" t="str"/>
      <x:c r="M5" s="31" t="str"/>
      <x:c r="N5" s="31" t="str"/>
      <x:c r="O5" s="31" t="str"/>
      <x:c r="P5" s="31" t="str"/>
      <x:c r="Q5" s="39" t="n">
        <x:f>IF(COUNTA(H5:P5)=0,"",ROUND(IF(D5="FE",H5*0.15+I5*0.23+J5*0.15+K5*0.15+L5*0.10+M5*0.10+N5*0.07+P5*0.05,IF(D5="PE",H5*0.15+I5*0.23+J5*0.15+K5*0.15+L5*0.08+M5*0.10+O5*0.09+P5*0.05,H5*'Scoring Dictionary'!$E$9+I5*'Scoring Dictionary'!$E$10+J5*'Scoring Dictionary'!$E$11+K5*'Scoring Dictionary'!$E$12+L5*'Scoring Dictionary'!$E$13+M5*'Scoring Dictionary'!$E$14+P5*'Scoring Dictionary'!$E$17)),3))</x:f>
        <x:v>0</x:v>
      </x:c>
      <x:c r="R5" s="12" t="str">
        <x:f>IF(Q5="","",IF(AND(Q5&gt;=0.8,H5&gt;='Scoring Dictionary'!$F$9,I5&gt;='Scoring Dictionary'!$F$10,P5&gt;='Scoring Dictionary'!$F$17),"PASS","FAIL"))</x:f>
      </x:c>
      <x:c r="S5" s="12" t="str"/>
      <x:c r="T5" s="38" t="str"/>
      <x:c r="U5" s="12" t="str"/>
    </x:row>
    <x:row r="6">
      <x:c r="A6" s="12" t="str">
        <x:v>GEN-005</x:v>
      </x:c>
      <x:c r="B6" s="12" t="str">
        <x:v>SameModelDualRole</x:v>
      </x:c>
      <x:c r="C6" s="12" t="str"/>
      <x:c r="D6" s="12" t="str"/>
      <x:c r="E6" s="12" t="str"/>
      <x:c r="F6" s="12" t="str">
        <x:v>GPT 5.5</x:v>
      </x:c>
      <x:c r="G6" s="12" t="str">
        <x:v>GPT 5.5</x:v>
      </x:c>
      <x:c r="H6" s="31" t="str"/>
      <x:c r="I6" s="31" t="str"/>
      <x:c r="J6" s="31" t="str"/>
      <x:c r="K6" s="31" t="str"/>
      <x:c r="L6" s="31" t="str"/>
      <x:c r="M6" s="31" t="str"/>
      <x:c r="N6" s="31" t="str"/>
      <x:c r="O6" s="31" t="str"/>
      <x:c r="P6" s="31" t="str"/>
      <x:c r="Q6" s="39" t="n">
        <x:f>IF(COUNTA(H6:P6)=0,"",ROUND(IF(D6="FE",H6*0.15+I6*0.23+J6*0.15+K6*0.15+L6*0.10+M6*0.10+N6*0.07+P6*0.05,IF(D6="PE",H6*0.15+I6*0.23+J6*0.15+K6*0.15+L6*0.08+M6*0.10+O6*0.09+P6*0.05,H6*'Scoring Dictionary'!$E$9+I6*'Scoring Dictionary'!$E$10+J6*'Scoring Dictionary'!$E$11+K6*'Scoring Dictionary'!$E$12+L6*'Scoring Dictionary'!$E$13+M6*'Scoring Dictionary'!$E$14+P6*'Scoring Dictionary'!$E$17)),3))</x:f>
        <x:v>0</x:v>
      </x:c>
      <x:c r="R6" s="12" t="str">
        <x:f>IF(Q6="","",IF(AND(Q6&gt;=0.8,H6&gt;='Scoring Dictionary'!$F$9,I6&gt;='Scoring Dictionary'!$F$10,P6&gt;='Scoring Dictionary'!$F$17),"PASS","FAIL"))</x:f>
      </x:c>
      <x:c r="S6" s="12" t="str"/>
      <x:c r="T6" s="38" t="str"/>
      <x:c r="U6" s="12" t="str"/>
    </x:row>
    <x:row r="7">
      <x:c r="A7" s="12" t="str">
        <x:v>GEN-006</x:v>
      </x:c>
      <x:c r="B7" s="12" t="str">
        <x:v>SameModelDualRole</x:v>
      </x:c>
      <x:c r="C7" s="12" t="str"/>
      <x:c r="D7" s="12" t="str"/>
      <x:c r="E7" s="12" t="str"/>
      <x:c r="F7" s="12" t="str">
        <x:v>Gemini 2.5</x:v>
      </x:c>
      <x:c r="G7" s="12" t="str">
        <x:v>Gemini 2.5</x:v>
      </x:c>
      <x:c r="H7" s="31" t="str"/>
      <x:c r="I7" s="31" t="str"/>
      <x:c r="J7" s="31" t="str"/>
      <x:c r="K7" s="31" t="str"/>
      <x:c r="L7" s="31" t="str"/>
      <x:c r="M7" s="31" t="str"/>
      <x:c r="N7" s="31" t="str"/>
      <x:c r="O7" s="31" t="str"/>
      <x:c r="P7" s="31" t="str"/>
      <x:c r="Q7" s="39" t="n">
        <x:f>IF(COUNTA(H7:P7)=0,"",ROUND(IF(D7="FE",H7*0.15+I7*0.23+J7*0.15+K7*0.15+L7*0.10+M7*0.10+N7*0.07+P7*0.05,IF(D7="PE",H7*0.15+I7*0.23+J7*0.15+K7*0.15+L7*0.08+M7*0.10+O7*0.09+P7*0.05,H7*'Scoring Dictionary'!$E$9+I7*'Scoring Dictionary'!$E$10+J7*'Scoring Dictionary'!$E$11+K7*'Scoring Dictionary'!$E$12+L7*'Scoring Dictionary'!$E$13+M7*'Scoring Dictionary'!$E$14+P7*'Scoring Dictionary'!$E$17)),3))</x:f>
        <x:v>0</x:v>
      </x:c>
      <x:c r="R7" s="12" t="str">
        <x:f>IF(Q7="","",IF(AND(Q7&gt;=0.8,H7&gt;='Scoring Dictionary'!$F$9,I7&gt;='Scoring Dictionary'!$F$10,P7&gt;='Scoring Dictionary'!$F$17),"PASS","FAIL"))</x:f>
      </x:c>
      <x:c r="S7" s="12" t="str"/>
      <x:c r="T7" s="38" t="str"/>
      <x:c r="U7" s="12" t="str"/>
    </x:row>
    <x:row r="8">
      <x:c r="A8" s="12" t="str">
        <x:v>GEN-007</x:v>
      </x:c>
      <x:c r="B8" s="12" t="str">
        <x:v>SameModelDualRole</x:v>
      </x:c>
      <x:c r="C8" s="12" t="str"/>
      <x:c r="D8" s="12" t="str"/>
      <x:c r="E8" s="12" t="str"/>
      <x:c r="F8" s="12" t="str">
        <x:v>Gemini 2.5 Flash</x:v>
      </x:c>
      <x:c r="G8" s="12" t="str">
        <x:v>Gemini 2.5 Flash</x:v>
      </x:c>
      <x:c r="H8" s="31" t="str"/>
      <x:c r="I8" s="31" t="str"/>
      <x:c r="J8" s="31" t="str"/>
      <x:c r="K8" s="31" t="str"/>
      <x:c r="L8" s="31" t="str"/>
      <x:c r="M8" s="31" t="str"/>
      <x:c r="N8" s="31" t="str"/>
      <x:c r="O8" s="31" t="str"/>
      <x:c r="P8" s="31" t="str"/>
      <x:c r="Q8" s="39" t="n">
        <x:f>IF(COUNTA(H8:P8)=0,"",ROUND(IF(D8="FE",H8*0.15+I8*0.23+J8*0.15+K8*0.15+L8*0.10+M8*0.10+N8*0.07+P8*0.05,IF(D8="PE",H8*0.15+I8*0.23+J8*0.15+K8*0.15+L8*0.08+M8*0.10+O8*0.09+P8*0.05,H8*'Scoring Dictionary'!$E$9+I8*'Scoring Dictionary'!$E$10+J8*'Scoring Dictionary'!$E$11+K8*'Scoring Dictionary'!$E$12+L8*'Scoring Dictionary'!$E$13+M8*'Scoring Dictionary'!$E$14+P8*'Scoring Dictionary'!$E$17)),3))</x:f>
        <x:v>0</x:v>
      </x:c>
      <x:c r="R8" s="12" t="str">
        <x:f>IF(Q8="","",IF(AND(Q8&gt;=0.8,H8&gt;='Scoring Dictionary'!$F$9,I8&gt;='Scoring Dictionary'!$F$10,P8&gt;='Scoring Dictionary'!$F$17),"PASS","FAIL"))</x:f>
      </x:c>
      <x:c r="S8" s="12" t="str"/>
      <x:c r="T8" s="38" t="str"/>
      <x:c r="U8" s="12" t="str"/>
    </x:row>
    <x:row r="9">
      <x:c r="A9" s="12" t="str">
        <x:v>GEN-008</x:v>
      </x:c>
      <x:c r="B9" s="12" t="str">
        <x:v>SameModelDualRole</x:v>
      </x:c>
      <x:c r="C9" s="12" t="str"/>
      <x:c r="D9" s="12" t="str"/>
      <x:c r="E9" s="12" t="str"/>
      <x:c r="F9" s="12" t="str">
        <x:v>Gemini 2.5 Pro</x:v>
      </x:c>
      <x:c r="G9" s="12" t="str">
        <x:v>Gemini 2.5 Pro</x:v>
      </x:c>
      <x:c r="H9" s="31" t="str"/>
      <x:c r="I9" s="31" t="str"/>
      <x:c r="J9" s="31" t="str"/>
      <x:c r="K9" s="31" t="str"/>
      <x:c r="L9" s="31" t="str"/>
      <x:c r="M9" s="31" t="str"/>
      <x:c r="N9" s="31" t="str"/>
      <x:c r="O9" s="31" t="str"/>
      <x:c r="P9" s="31" t="str"/>
      <x:c r="Q9" s="39" t="n">
        <x:f>IF(COUNTA(H9:P9)=0,"",ROUND(IF(D9="FE",H9*0.15+I9*0.23+J9*0.15+K9*0.15+L9*0.10+M9*0.10+N9*0.07+P9*0.05,IF(D9="PE",H9*0.15+I9*0.23+J9*0.15+K9*0.15+L9*0.08+M9*0.10+O9*0.09+P9*0.05,H9*'Scoring Dictionary'!$E$9+I9*'Scoring Dictionary'!$E$10+J9*'Scoring Dictionary'!$E$11+K9*'Scoring Dictionary'!$E$12+L9*'Scoring Dictionary'!$E$13+M9*'Scoring Dictionary'!$E$14+P9*'Scoring Dictionary'!$E$17)),3))</x:f>
        <x:v>0</x:v>
      </x:c>
      <x:c r="R9" s="12" t="str">
        <x:f>IF(Q9="","",IF(AND(Q9&gt;=0.8,H9&gt;='Scoring Dictionary'!$F$9,I9&gt;='Scoring Dictionary'!$F$10,P9&gt;='Scoring Dictionary'!$F$17),"PASS","FAIL"))</x:f>
      </x:c>
      <x:c r="S9" s="12" t="str"/>
      <x:c r="T9" s="38" t="str"/>
      <x:c r="U9" s="12" t="str"/>
    </x:row>
    <x:row r="10">
      <x:c r="A10" s="12" t="str">
        <x:v>GEN-009</x:v>
      </x:c>
      <x:c r="B10" s="12" t="str">
        <x:v>SameModelDualRole</x:v>
      </x:c>
      <x:c r="C10" s="12" t="str"/>
      <x:c r="D10" s="12" t="str"/>
      <x:c r="E10" s="12" t="str"/>
      <x:c r="F10" s="12" t="str">
        <x:v>Gemini 3.1 Flash Lite</x:v>
      </x:c>
      <x:c r="G10" s="12" t="str">
        <x:v>Gemini 3.1 Flash Lite</x:v>
      </x:c>
      <x:c r="H10" s="31" t="str"/>
      <x:c r="I10" s="31" t="str"/>
      <x:c r="J10" s="31" t="str"/>
      <x:c r="K10" s="31" t="str"/>
      <x:c r="L10" s="31" t="str"/>
      <x:c r="M10" s="31" t="str"/>
      <x:c r="N10" s="31" t="str"/>
      <x:c r="O10" s="31" t="str"/>
      <x:c r="P10" s="31" t="str"/>
      <x:c r="Q10" s="39" t="n">
        <x:f>IF(COUNTA(H10:P10)=0,"",ROUND(IF(D10="FE",H10*0.15+I10*0.23+J10*0.15+K10*0.15+L10*0.10+M10*0.10+N10*0.07+P10*0.05,IF(D10="PE",H10*0.15+I10*0.23+J10*0.15+K10*0.15+L10*0.08+M10*0.10+O10*0.09+P10*0.05,H10*'Scoring Dictionary'!$E$9+I10*'Scoring Dictionary'!$E$10+J10*'Scoring Dictionary'!$E$11+K10*'Scoring Dictionary'!$E$12+L10*'Scoring Dictionary'!$E$13+M10*'Scoring Dictionary'!$E$14+P10*'Scoring Dictionary'!$E$17)),3))</x:f>
        <x:v>0</x:v>
      </x:c>
      <x:c r="R10" s="12" t="str">
        <x:f>IF(Q10="","",IF(AND(Q10&gt;=0.8,H10&gt;='Scoring Dictionary'!$F$9,I10&gt;='Scoring Dictionary'!$F$10,P10&gt;='Scoring Dictionary'!$F$17),"PASS","FAIL"))</x:f>
      </x:c>
      <x:c r="S10" s="12" t="str"/>
      <x:c r="T10" s="38" t="str"/>
      <x:c r="U10" s="12" t="str"/>
    </x:row>
    <x:row r="11">
      <x:c r="A11" s="12" t="str">
        <x:v>GEN-010</x:v>
      </x:c>
      <x:c r="B11" s="12" t="str">
        <x:v>SameModelDualRole</x:v>
      </x:c>
      <x:c r="C11" s="12" t="str"/>
      <x:c r="D11" s="12" t="str"/>
      <x:c r="E11" s="12" t="str"/>
      <x:c r="F11" s="12" t="str">
        <x:v>Gemini 3.5 Flash</x:v>
      </x:c>
      <x:c r="G11" s="12" t="str">
        <x:v>Gemini 3.5 Flash</x:v>
      </x:c>
      <x:c r="H11" s="31" t="str"/>
      <x:c r="I11" s="31" t="str"/>
      <x:c r="J11" s="31" t="str"/>
      <x:c r="K11" s="31" t="str"/>
      <x:c r="L11" s="31" t="str"/>
      <x:c r="M11" s="31" t="str"/>
      <x:c r="N11" s="31" t="str"/>
      <x:c r="O11" s="31" t="str"/>
      <x:c r="P11" s="31" t="str"/>
      <x:c r="Q11" s="39" t="n">
        <x:f>IF(COUNTA(H11:P11)=0,"",ROUND(IF(D11="FE",H11*0.15+I11*0.23+J11*0.15+K11*0.15+L11*0.10+M11*0.10+N11*0.07+P11*0.05,IF(D11="PE",H11*0.15+I11*0.23+J11*0.15+K11*0.15+L11*0.08+M11*0.10+O11*0.09+P11*0.05,H11*'Scoring Dictionary'!$E$9+I11*'Scoring Dictionary'!$E$10+J11*'Scoring Dictionary'!$E$11+K11*'Scoring Dictionary'!$E$12+L11*'Scoring Dictionary'!$E$13+M11*'Scoring Dictionary'!$E$14+P11*'Scoring Dictionary'!$E$17)),3))</x:f>
        <x:v>0</x:v>
      </x:c>
      <x:c r="R11" s="12" t="str">
        <x:f>IF(Q11="","",IF(AND(Q11&gt;=0.8,H11&gt;='Scoring Dictionary'!$F$9,I11&gt;='Scoring Dictionary'!$F$10,P11&gt;='Scoring Dictionary'!$F$17),"PASS","FAIL"))</x:f>
      </x:c>
      <x:c r="S11" s="12" t="str"/>
      <x:c r="T11" s="38" t="str"/>
      <x:c r="U11" s="12" t="str"/>
    </x:row>
    <x:row r="12">
      <x:c r="A12" s="12" t="str">
        <x:v>GEN-011</x:v>
      </x:c>
      <x:c r="B12" s="12" t="str">
        <x:v>DualAgent</x:v>
      </x:c>
      <x:c r="C12" s="12" t="str"/>
      <x:c r="D12" s="12" t="str"/>
      <x:c r="E12" s="12" t="str"/>
      <x:c r="F12" s="12" t="str">
        <x:v>GPT 4o</x:v>
      </x:c>
      <x:c r="G12" s="12" t="str">
        <x:v>GPT 4o mini</x:v>
      </x:c>
      <x:c r="H12" s="31" t="str"/>
      <x:c r="I12" s="31" t="str"/>
      <x:c r="J12" s="31" t="str"/>
      <x:c r="K12" s="31" t="str"/>
      <x:c r="L12" s="31" t="str"/>
      <x:c r="M12" s="31" t="str"/>
      <x:c r="N12" s="31" t="str"/>
      <x:c r="O12" s="31" t="str"/>
      <x:c r="P12" s="31" t="str"/>
      <x:c r="Q12" s="39" t="n">
        <x:f>IF(COUNTA(H12:P12)=0,"",ROUND(IF(D12="FE",H12*0.15+I12*0.23+J12*0.15+K12*0.15+L12*0.10+M12*0.10+N12*0.07+P12*0.05,IF(D12="PE",H12*0.15+I12*0.23+J12*0.15+K12*0.15+L12*0.08+M12*0.10+O12*0.09+P12*0.05,H12*'Scoring Dictionary'!$E$9+I12*'Scoring Dictionary'!$E$10+J12*'Scoring Dictionary'!$E$11+K12*'Scoring Dictionary'!$E$12+L12*'Scoring Dictionary'!$E$13+M12*'Scoring Dictionary'!$E$14+P12*'Scoring Dictionary'!$E$17)),3))</x:f>
        <x:v>0</x:v>
      </x:c>
      <x:c r="R12" s="12" t="str">
        <x:f>IF(Q12="","",IF(AND(Q12&gt;=0.8,H12&gt;='Scoring Dictionary'!$F$9,I12&gt;='Scoring Dictionary'!$F$10,P12&gt;='Scoring Dictionary'!$F$17),"PASS","FAIL"))</x:f>
      </x:c>
      <x:c r="S12" s="12" t="str"/>
      <x:c r="T12" s="38" t="str"/>
      <x:c r="U12" s="12" t="str"/>
    </x:row>
    <x:row r="13">
      <x:c r="A13" s="12" t="str">
        <x:v>GEN-012</x:v>
      </x:c>
      <x:c r="B13" s="12" t="str">
        <x:v>DualAgent</x:v>
      </x:c>
      <x:c r="C13" s="12" t="str"/>
      <x:c r="D13" s="12" t="str"/>
      <x:c r="E13" s="12" t="str"/>
      <x:c r="F13" s="12" t="str">
        <x:v>GPT 4o</x:v>
      </x:c>
      <x:c r="G13" s="12" t="str">
        <x:v>GPT 5.4</x:v>
      </x:c>
      <x:c r="H13" s="31" t="str"/>
      <x:c r="I13" s="31" t="str"/>
      <x:c r="J13" s="31" t="str"/>
      <x:c r="K13" s="31" t="str"/>
      <x:c r="L13" s="31" t="str"/>
      <x:c r="M13" s="31" t="str"/>
      <x:c r="N13" s="31" t="str"/>
      <x:c r="O13" s="31" t="str"/>
      <x:c r="P13" s="31" t="str"/>
      <x:c r="Q13" s="39" t="n">
        <x:f>IF(COUNTA(H13:P13)=0,"",ROUND(IF(D13="FE",H13*0.15+I13*0.23+J13*0.15+K13*0.15+L13*0.10+M13*0.10+N13*0.07+P13*0.05,IF(D13="PE",H13*0.15+I13*0.23+J13*0.15+K13*0.15+L13*0.08+M13*0.10+O13*0.09+P13*0.05,H13*'Scoring Dictionary'!$E$9+I13*'Scoring Dictionary'!$E$10+J13*'Scoring Dictionary'!$E$11+K13*'Scoring Dictionary'!$E$12+L13*'Scoring Dictionary'!$E$13+M13*'Scoring Dictionary'!$E$14+P13*'Scoring Dictionary'!$E$17)),3))</x:f>
        <x:v>0</x:v>
      </x:c>
      <x:c r="R13" s="12" t="str">
        <x:f>IF(Q13="","",IF(AND(Q13&gt;=0.8,H13&gt;='Scoring Dictionary'!$F$9,I13&gt;='Scoring Dictionary'!$F$10,P13&gt;='Scoring Dictionary'!$F$17),"PASS","FAIL"))</x:f>
      </x:c>
      <x:c r="S13" s="12" t="str"/>
      <x:c r="T13" s="38" t="str"/>
      <x:c r="U13" s="12" t="str"/>
    </x:row>
    <x:row r="14">
      <x:c r="A14" s="12" t="str">
        <x:v>GEN-013</x:v>
      </x:c>
      <x:c r="B14" s="12" t="str">
        <x:v>DualAgent</x:v>
      </x:c>
      <x:c r="C14" s="12" t="str"/>
      <x:c r="D14" s="12" t="str"/>
      <x:c r="E14" s="12" t="str"/>
      <x:c r="F14" s="12" t="str">
        <x:v>GPT 4o</x:v>
      </x:c>
      <x:c r="G14" s="12" t="str">
        <x:v>GPT 5.4 mini</x:v>
      </x:c>
      <x:c r="H14" s="31" t="str"/>
      <x:c r="I14" s="31" t="str"/>
      <x:c r="J14" s="31" t="str"/>
      <x:c r="K14" s="31" t="str"/>
      <x:c r="L14" s="31" t="str"/>
      <x:c r="M14" s="31" t="str"/>
      <x:c r="N14" s="31" t="str"/>
      <x:c r="O14" s="31" t="str"/>
      <x:c r="P14" s="31" t="str"/>
      <x:c r="Q14" s="39" t="n">
        <x:f>IF(COUNTA(H14:P14)=0,"",ROUND(IF(D14="FE",H14*0.15+I14*0.23+J14*0.15+K14*0.15+L14*0.10+M14*0.10+N14*0.07+P14*0.05,IF(D14="PE",H14*0.15+I14*0.23+J14*0.15+K14*0.15+L14*0.08+M14*0.10+O14*0.09+P14*0.05,H14*'Scoring Dictionary'!$E$9+I14*'Scoring Dictionary'!$E$10+J14*'Scoring Dictionary'!$E$11+K14*'Scoring Dictionary'!$E$12+L14*'Scoring Dictionary'!$E$13+M14*'Scoring Dictionary'!$E$14+P14*'Scoring Dictionary'!$E$17)),3))</x:f>
        <x:v>0</x:v>
      </x:c>
      <x:c r="R14" s="12" t="str">
        <x:f>IF(Q14="","",IF(AND(Q14&gt;=0.8,H14&gt;='Scoring Dictionary'!$F$9,I14&gt;='Scoring Dictionary'!$F$10,P14&gt;='Scoring Dictionary'!$F$17),"PASS","FAIL"))</x:f>
      </x:c>
      <x:c r="S14" s="12" t="str"/>
      <x:c r="T14" s="38" t="str"/>
      <x:c r="U14" s="12" t="str"/>
    </x:row>
    <x:row r="15">
      <x:c r="A15" s="12" t="str">
        <x:v>GEN-014</x:v>
      </x:c>
      <x:c r="B15" s="12" t="str">
        <x:v>DualAgent</x:v>
      </x:c>
      <x:c r="C15" s="12" t="str"/>
      <x:c r="D15" s="12" t="str"/>
      <x:c r="E15" s="12" t="str"/>
      <x:c r="F15" s="12" t="str">
        <x:v>GPT 4o</x:v>
      </x:c>
      <x:c r="G15" s="12" t="str">
        <x:v>GPT 5.5</x:v>
      </x:c>
      <x:c r="H15" s="31" t="str"/>
      <x:c r="I15" s="31" t="str"/>
      <x:c r="J15" s="31" t="str"/>
      <x:c r="K15" s="31" t="str"/>
      <x:c r="L15" s="31" t="str"/>
      <x:c r="M15" s="31" t="str"/>
      <x:c r="N15" s="31" t="str"/>
      <x:c r="O15" s="31" t="str"/>
      <x:c r="P15" s="31" t="str"/>
      <x:c r="Q15" s="39" t="n">
        <x:f>IF(COUNTA(H15:P15)=0,"",ROUND(IF(D15="FE",H15*0.15+I15*0.23+J15*0.15+K15*0.15+L15*0.10+M15*0.10+N15*0.07+P15*0.05,IF(D15="PE",H15*0.15+I15*0.23+J15*0.15+K15*0.15+L15*0.08+M15*0.10+O15*0.09+P15*0.05,H15*'Scoring Dictionary'!$E$9+I15*'Scoring Dictionary'!$E$10+J15*'Scoring Dictionary'!$E$11+K15*'Scoring Dictionary'!$E$12+L15*'Scoring Dictionary'!$E$13+M15*'Scoring Dictionary'!$E$14+P15*'Scoring Dictionary'!$E$17)),3))</x:f>
        <x:v>0</x:v>
      </x:c>
      <x:c r="R15" s="12" t="str">
        <x:f>IF(Q15="","",IF(AND(Q15&gt;=0.8,H15&gt;='Scoring Dictionary'!$F$9,I15&gt;='Scoring Dictionary'!$F$10,P15&gt;='Scoring Dictionary'!$F$17),"PASS","FAIL"))</x:f>
      </x:c>
      <x:c r="S15" s="12" t="str"/>
      <x:c r="T15" s="38" t="str"/>
      <x:c r="U15" s="12" t="str"/>
    </x:row>
    <x:row r="16">
      <x:c r="A16" s="12" t="str">
        <x:v>GEN-015</x:v>
      </x:c>
      <x:c r="B16" s="12" t="str">
        <x:v>DualAgent</x:v>
      </x:c>
      <x:c r="C16" s="12" t="str"/>
      <x:c r="D16" s="12" t="str"/>
      <x:c r="E16" s="12" t="str"/>
      <x:c r="F16" s="12" t="str">
        <x:v>GPT 4o</x:v>
      </x:c>
      <x:c r="G16" s="12" t="str">
        <x:v>Gemini 2.5</x:v>
      </x:c>
      <x:c r="H16" s="31" t="str"/>
      <x:c r="I16" s="31" t="str"/>
      <x:c r="J16" s="31" t="str"/>
      <x:c r="K16" s="31" t="str"/>
      <x:c r="L16" s="31" t="str"/>
      <x:c r="M16" s="31" t="str"/>
      <x:c r="N16" s="31" t="str"/>
      <x:c r="O16" s="31" t="str"/>
      <x:c r="P16" s="31" t="str"/>
      <x:c r="Q16" s="39" t="n">
        <x:f>IF(COUNTA(H16:P16)=0,"",ROUND(IF(D16="FE",H16*0.15+I16*0.23+J16*0.15+K16*0.15+L16*0.10+M16*0.10+N16*0.07+P16*0.05,IF(D16="PE",H16*0.15+I16*0.23+J16*0.15+K16*0.15+L16*0.08+M16*0.10+O16*0.09+P16*0.05,H16*'Scoring Dictionary'!$E$9+I16*'Scoring Dictionary'!$E$10+J16*'Scoring Dictionary'!$E$11+K16*'Scoring Dictionary'!$E$12+L16*'Scoring Dictionary'!$E$13+M16*'Scoring Dictionary'!$E$14+P16*'Scoring Dictionary'!$E$17)),3))</x:f>
        <x:v>0</x:v>
      </x:c>
      <x:c r="R16" s="12" t="str">
        <x:f>IF(Q16="","",IF(AND(Q16&gt;=0.8,H16&gt;='Scoring Dictionary'!$F$9,I16&gt;='Scoring Dictionary'!$F$10,P16&gt;='Scoring Dictionary'!$F$17),"PASS","FAIL"))</x:f>
      </x:c>
      <x:c r="S16" s="12" t="str"/>
      <x:c r="T16" s="38" t="str"/>
      <x:c r="U16" s="12" t="str"/>
    </x:row>
    <x:row r="17">
      <x:c r="A17" s="12" t="str">
        <x:v>GEN-016</x:v>
      </x:c>
      <x:c r="B17" s="12" t="str">
        <x:v>DualAgent</x:v>
      </x:c>
      <x:c r="C17" s="12" t="str"/>
      <x:c r="D17" s="12" t="str"/>
      <x:c r="E17" s="12" t="str"/>
      <x:c r="F17" s="12" t="str">
        <x:v>GPT 4o</x:v>
      </x:c>
      <x:c r="G17" s="12" t="str">
        <x:v>Gemini 2.5 Flash</x:v>
      </x:c>
      <x:c r="H17" s="31" t="str"/>
      <x:c r="I17" s="31" t="str"/>
      <x:c r="J17" s="31" t="str"/>
      <x:c r="K17" s="31" t="str"/>
      <x:c r="L17" s="31" t="str"/>
      <x:c r="M17" s="31" t="str"/>
      <x:c r="N17" s="31" t="str"/>
      <x:c r="O17" s="31" t="str"/>
      <x:c r="P17" s="31" t="str"/>
      <x:c r="Q17" s="39" t="n">
        <x:f>IF(COUNTA(H17:P17)=0,"",ROUND(IF(D17="FE",H17*0.15+I17*0.23+J17*0.15+K17*0.15+L17*0.10+M17*0.10+N17*0.07+P17*0.05,IF(D17="PE",H17*0.15+I17*0.23+J17*0.15+K17*0.15+L17*0.08+M17*0.10+O17*0.09+P17*0.05,H17*'Scoring Dictionary'!$E$9+I17*'Scoring Dictionary'!$E$10+J17*'Scoring Dictionary'!$E$11+K17*'Scoring Dictionary'!$E$12+L17*'Scoring Dictionary'!$E$13+M17*'Scoring Dictionary'!$E$14+P17*'Scoring Dictionary'!$E$17)),3))</x:f>
        <x:v>0</x:v>
      </x:c>
      <x:c r="R17" s="12" t="str">
        <x:f>IF(Q17="","",IF(AND(Q17&gt;=0.8,H17&gt;='Scoring Dictionary'!$F$9,I17&gt;='Scoring Dictionary'!$F$10,P17&gt;='Scoring Dictionary'!$F$17),"PASS","FAIL"))</x:f>
      </x:c>
      <x:c r="S17" s="12" t="str"/>
      <x:c r="T17" s="38" t="str"/>
      <x:c r="U17" s="12" t="str"/>
    </x:row>
    <x:row r="18">
      <x:c r="A18" s="12" t="str">
        <x:v>GEN-017</x:v>
      </x:c>
      <x:c r="B18" s="12" t="str">
        <x:v>DualAgent</x:v>
      </x:c>
      <x:c r="C18" s="12" t="str"/>
      <x:c r="D18" s="12" t="str"/>
      <x:c r="E18" s="12" t="str"/>
      <x:c r="F18" s="12" t="str">
        <x:v>GPT 4o</x:v>
      </x:c>
      <x:c r="G18" s="12" t="str">
        <x:v>Gemini 2.5 Pro</x:v>
      </x:c>
      <x:c r="H18" s="31" t="str"/>
      <x:c r="I18" s="31" t="str"/>
      <x:c r="J18" s="31" t="str"/>
      <x:c r="K18" s="31" t="str"/>
      <x:c r="L18" s="31" t="str"/>
      <x:c r="M18" s="31" t="str"/>
      <x:c r="N18" s="31" t="str"/>
      <x:c r="O18" s="31" t="str"/>
      <x:c r="P18" s="31" t="str"/>
      <x:c r="Q18" s="39" t="n">
        <x:f>IF(COUNTA(H18:P18)=0,"",ROUND(IF(D18="FE",H18*0.15+I18*0.23+J18*0.15+K18*0.15+L18*0.10+M18*0.10+N18*0.07+P18*0.05,IF(D18="PE",H18*0.15+I18*0.23+J18*0.15+K18*0.15+L18*0.08+M18*0.10+O18*0.09+P18*0.05,H18*'Scoring Dictionary'!$E$9+I18*'Scoring Dictionary'!$E$10+J18*'Scoring Dictionary'!$E$11+K18*'Scoring Dictionary'!$E$12+L18*'Scoring Dictionary'!$E$13+M18*'Scoring Dictionary'!$E$14+P18*'Scoring Dictionary'!$E$17)),3))</x:f>
        <x:v>0</x:v>
      </x:c>
      <x:c r="R18" s="12" t="str">
        <x:f>IF(Q18="","",IF(AND(Q18&gt;=0.8,H18&gt;='Scoring Dictionary'!$F$9,I18&gt;='Scoring Dictionary'!$F$10,P18&gt;='Scoring Dictionary'!$F$17),"PASS","FAIL"))</x:f>
      </x:c>
      <x:c r="S18" s="12" t="str"/>
      <x:c r="T18" s="38" t="str"/>
      <x:c r="U18" s="12" t="str"/>
    </x:row>
    <x:row r="19">
      <x:c r="A19" s="12" t="str">
        <x:v>GEN-018</x:v>
      </x:c>
      <x:c r="B19" s="12" t="str">
        <x:v>DualAgent</x:v>
      </x:c>
      <x:c r="C19" s="12" t="str"/>
      <x:c r="D19" s="12" t="str"/>
      <x:c r="E19" s="12" t="str"/>
      <x:c r="F19" s="12" t="str">
        <x:v>GPT 4o</x:v>
      </x:c>
      <x:c r="G19" s="12" t="str">
        <x:v>Gemini 3.1 Flash Lite</x:v>
      </x:c>
      <x:c r="H19" s="31" t="str"/>
      <x:c r="I19" s="31" t="str"/>
      <x:c r="J19" s="31" t="str"/>
      <x:c r="K19" s="31" t="str"/>
      <x:c r="L19" s="31" t="str"/>
      <x:c r="M19" s="31" t="str"/>
      <x:c r="N19" s="31" t="str"/>
      <x:c r="O19" s="31" t="str"/>
      <x:c r="P19" s="31" t="str"/>
      <x:c r="Q19" s="39" t="n">
        <x:f>IF(COUNTA(H19:P19)=0,"",ROUND(IF(D19="FE",H19*0.15+I19*0.23+J19*0.15+K19*0.15+L19*0.10+M19*0.10+N19*0.07+P19*0.05,IF(D19="PE",H19*0.15+I19*0.23+J19*0.15+K19*0.15+L19*0.08+M19*0.10+O19*0.09+P19*0.05,H19*'Scoring Dictionary'!$E$9+I19*'Scoring Dictionary'!$E$10+J19*'Scoring Dictionary'!$E$11+K19*'Scoring Dictionary'!$E$12+L19*'Scoring Dictionary'!$E$13+M19*'Scoring Dictionary'!$E$14+P19*'Scoring Dictionary'!$E$17)),3))</x:f>
        <x:v>0</x:v>
      </x:c>
      <x:c r="R19" s="12" t="str">
        <x:f>IF(Q19="","",IF(AND(Q19&gt;=0.8,H19&gt;='Scoring Dictionary'!$F$9,I19&gt;='Scoring Dictionary'!$F$10,P19&gt;='Scoring Dictionary'!$F$17),"PASS","FAIL"))</x:f>
      </x:c>
      <x:c r="S19" s="12" t="str"/>
      <x:c r="T19" s="38" t="str"/>
      <x:c r="U19" s="12" t="str"/>
    </x:row>
    <x:row r="20">
      <x:c r="A20" s="12" t="str">
        <x:v>GEN-019</x:v>
      </x:c>
      <x:c r="B20" s="12" t="str">
        <x:v>DualAgent</x:v>
      </x:c>
      <x:c r="C20" s="12" t="str"/>
      <x:c r="D20" s="12" t="str"/>
      <x:c r="E20" s="12" t="str"/>
      <x:c r="F20" s="12" t="str">
        <x:v>GPT 4o</x:v>
      </x:c>
      <x:c r="G20" s="12" t="str">
        <x:v>Gemini 3.5 Flash</x:v>
      </x:c>
      <x:c r="H20" s="31" t="str"/>
      <x:c r="I20" s="31" t="str"/>
      <x:c r="J20" s="31" t="str"/>
      <x:c r="K20" s="31" t="str"/>
      <x:c r="L20" s="31" t="str"/>
      <x:c r="M20" s="31" t="str"/>
      <x:c r="N20" s="31" t="str"/>
      <x:c r="O20" s="31" t="str"/>
      <x:c r="P20" s="31" t="str"/>
      <x:c r="Q20" s="39" t="n">
        <x:f>IF(COUNTA(H20:P20)=0,"",ROUND(IF(D20="FE",H20*0.15+I20*0.23+J20*0.15+K20*0.15+L20*0.10+M20*0.10+N20*0.07+P20*0.05,IF(D20="PE",H20*0.15+I20*0.23+J20*0.15+K20*0.15+L20*0.08+M20*0.10+O20*0.09+P20*0.05,H20*'Scoring Dictionary'!$E$9+I20*'Scoring Dictionary'!$E$10+J20*'Scoring Dictionary'!$E$11+K20*'Scoring Dictionary'!$E$12+L20*'Scoring Dictionary'!$E$13+M20*'Scoring Dictionary'!$E$14+P20*'Scoring Dictionary'!$E$17)),3))</x:f>
        <x:v>0</x:v>
      </x:c>
      <x:c r="R20" s="12" t="str">
        <x:f>IF(Q20="","",IF(AND(Q20&gt;=0.8,H20&gt;='Scoring Dictionary'!$F$9,I20&gt;='Scoring Dictionary'!$F$10,P20&gt;='Scoring Dictionary'!$F$17),"PASS","FAIL"))</x:f>
      </x:c>
      <x:c r="S20" s="12" t="str"/>
      <x:c r="T20" s="38" t="str"/>
      <x:c r="U20" s="12" t="str"/>
    </x:row>
    <x:row r="21">
      <x:c r="A21" s="12" t="str">
        <x:v>GEN-020</x:v>
      </x:c>
      <x:c r="B21" s="12" t="str">
        <x:v>DualAgent</x:v>
      </x:c>
      <x:c r="C21" s="12" t="str"/>
      <x:c r="D21" s="12" t="str"/>
      <x:c r="E21" s="12" t="str"/>
      <x:c r="F21" s="12" t="str">
        <x:v>GPT 4o mini</x:v>
      </x:c>
      <x:c r="G21" s="12" t="str">
        <x:v>GPT 4o</x:v>
      </x:c>
      <x:c r="H21" s="31" t="str"/>
      <x:c r="I21" s="31" t="str"/>
      <x:c r="J21" s="31" t="str"/>
      <x:c r="K21" s="31" t="str"/>
      <x:c r="L21" s="31" t="str"/>
      <x:c r="M21" s="31" t="str"/>
      <x:c r="N21" s="31" t="str"/>
      <x:c r="O21" s="31" t="str"/>
      <x:c r="P21" s="31" t="str"/>
      <x:c r="Q21" s="39" t="n">
        <x:f>IF(COUNTA(H21:P21)=0,"",ROUND(IF(D21="FE",H21*0.15+I21*0.23+J21*0.15+K21*0.15+L21*0.10+M21*0.10+N21*0.07+P21*0.05,IF(D21="PE",H21*0.15+I21*0.23+J21*0.15+K21*0.15+L21*0.08+M21*0.10+O21*0.09+P21*0.05,H21*'Scoring Dictionary'!$E$9+I21*'Scoring Dictionary'!$E$10+J21*'Scoring Dictionary'!$E$11+K21*'Scoring Dictionary'!$E$12+L21*'Scoring Dictionary'!$E$13+M21*'Scoring Dictionary'!$E$14+P21*'Scoring Dictionary'!$E$17)),3))</x:f>
        <x:v>0</x:v>
      </x:c>
      <x:c r="R21" s="12" t="str">
        <x:f>IF(Q21="","",IF(AND(Q21&gt;=0.8,H21&gt;='Scoring Dictionary'!$F$9,I21&gt;='Scoring Dictionary'!$F$10,P21&gt;='Scoring Dictionary'!$F$17),"PASS","FAIL"))</x:f>
      </x:c>
      <x:c r="S21" s="12" t="str"/>
      <x:c r="T21" s="38" t="str"/>
      <x:c r="U21" s="12" t="str"/>
    </x:row>
    <x:row r="22">
      <x:c r="A22" s="12" t="str">
        <x:v>GEN-021</x:v>
      </x:c>
      <x:c r="B22" s="12" t="str">
        <x:v>DualAgent</x:v>
      </x:c>
      <x:c r="C22" s="12" t="str"/>
      <x:c r="D22" s="12" t="str"/>
      <x:c r="E22" s="12" t="str"/>
      <x:c r="F22" s="12" t="str">
        <x:v>GPT 4o mini</x:v>
      </x:c>
      <x:c r="G22" s="12" t="str">
        <x:v>GPT 5.4</x:v>
      </x:c>
      <x:c r="H22" s="31" t="str"/>
      <x:c r="I22" s="31" t="str"/>
      <x:c r="J22" s="31" t="str"/>
      <x:c r="K22" s="31" t="str"/>
      <x:c r="L22" s="31" t="str"/>
      <x:c r="M22" s="31" t="str"/>
      <x:c r="N22" s="31" t="str"/>
      <x:c r="O22" s="31" t="str"/>
      <x:c r="P22" s="31" t="str"/>
      <x:c r="Q22" s="39" t="n">
        <x:f>IF(COUNTA(H22:P22)=0,"",ROUND(IF(D22="FE",H22*0.15+I22*0.23+J22*0.15+K22*0.15+L22*0.10+M22*0.10+N22*0.07+P22*0.05,IF(D22="PE",H22*0.15+I22*0.23+J22*0.15+K22*0.15+L22*0.08+M22*0.10+O22*0.09+P22*0.05,H22*'Scoring Dictionary'!$E$9+I22*'Scoring Dictionary'!$E$10+J22*'Scoring Dictionary'!$E$11+K22*'Scoring Dictionary'!$E$12+L22*'Scoring Dictionary'!$E$13+M22*'Scoring Dictionary'!$E$14+P22*'Scoring Dictionary'!$E$17)),3))</x:f>
        <x:v>0</x:v>
      </x:c>
      <x:c r="R22" s="12" t="str">
        <x:f>IF(Q22="","",IF(AND(Q22&gt;=0.8,H22&gt;='Scoring Dictionary'!$F$9,I22&gt;='Scoring Dictionary'!$F$10,P22&gt;='Scoring Dictionary'!$F$17),"PASS","FAIL"))</x:f>
      </x:c>
      <x:c r="S22" s="12" t="str"/>
      <x:c r="T22" s="38" t="str"/>
      <x:c r="U22" s="12" t="str"/>
    </x:row>
    <x:row r="23">
      <x:c r="A23" s="12" t="str">
        <x:v>GEN-022</x:v>
      </x:c>
      <x:c r="B23" s="12" t="str">
        <x:v>DualAgent</x:v>
      </x:c>
      <x:c r="C23" s="12" t="str"/>
      <x:c r="D23" s="12" t="str"/>
      <x:c r="E23" s="12" t="str"/>
      <x:c r="F23" s="12" t="str">
        <x:v>GPT 4o mini</x:v>
      </x:c>
      <x:c r="G23" s="12" t="str">
        <x:v>GPT 5.4 mini</x:v>
      </x:c>
      <x:c r="H23" s="31" t="str"/>
      <x:c r="I23" s="31" t="str"/>
      <x:c r="J23" s="31" t="str"/>
      <x:c r="K23" s="31" t="str"/>
      <x:c r="L23" s="31" t="str"/>
      <x:c r="M23" s="31" t="str"/>
      <x:c r="N23" s="31" t="str"/>
      <x:c r="O23" s="31" t="str"/>
      <x:c r="P23" s="31" t="str"/>
      <x:c r="Q23" s="39" t="n">
        <x:f>IF(COUNTA(H23:P23)=0,"",ROUND(IF(D23="FE",H23*0.15+I23*0.23+J23*0.15+K23*0.15+L23*0.10+M23*0.10+N23*0.07+P23*0.05,IF(D23="PE",H23*0.15+I23*0.23+J23*0.15+K23*0.15+L23*0.08+M23*0.10+O23*0.09+P23*0.05,H23*'Scoring Dictionary'!$E$9+I23*'Scoring Dictionary'!$E$10+J23*'Scoring Dictionary'!$E$11+K23*'Scoring Dictionary'!$E$12+L23*'Scoring Dictionary'!$E$13+M23*'Scoring Dictionary'!$E$14+P23*'Scoring Dictionary'!$E$17)),3))</x:f>
        <x:v>0</x:v>
      </x:c>
      <x:c r="R23" s="12" t="str">
        <x:f>IF(Q23="","",IF(AND(Q23&gt;=0.8,H23&gt;='Scoring Dictionary'!$F$9,I23&gt;='Scoring Dictionary'!$F$10,P23&gt;='Scoring Dictionary'!$F$17),"PASS","FAIL"))</x:f>
      </x:c>
      <x:c r="S23" s="12" t="str"/>
      <x:c r="T23" s="38" t="str"/>
      <x:c r="U23" s="12" t="str"/>
    </x:row>
    <x:row r="24">
      <x:c r="A24" s="12" t="str">
        <x:v>GEN-023</x:v>
      </x:c>
      <x:c r="B24" s="12" t="str">
        <x:v>DualAgent</x:v>
      </x:c>
      <x:c r="C24" s="12" t="str"/>
      <x:c r="D24" s="12" t="str"/>
      <x:c r="E24" s="12" t="str"/>
      <x:c r="F24" s="12" t="str">
        <x:v>GPT 4o mini</x:v>
      </x:c>
      <x:c r="G24" s="12" t="str">
        <x:v>GPT 5.5</x:v>
      </x:c>
      <x:c r="H24" s="31" t="str"/>
      <x:c r="I24" s="31" t="str"/>
      <x:c r="J24" s="31" t="str"/>
      <x:c r="K24" s="31" t="str"/>
      <x:c r="L24" s="31" t="str"/>
      <x:c r="M24" s="31" t="str"/>
      <x:c r="N24" s="31" t="str"/>
      <x:c r="O24" s="31" t="str"/>
      <x:c r="P24" s="31" t="str"/>
      <x:c r="Q24" s="39" t="n">
        <x:f>IF(COUNTA(H24:P24)=0,"",ROUND(IF(D24="FE",H24*0.15+I24*0.23+J24*0.15+K24*0.15+L24*0.10+M24*0.10+N24*0.07+P24*0.05,IF(D24="PE",H24*0.15+I24*0.23+J24*0.15+K24*0.15+L24*0.08+M24*0.10+O24*0.09+P24*0.05,H24*'Scoring Dictionary'!$E$9+I24*'Scoring Dictionary'!$E$10+J24*'Scoring Dictionary'!$E$11+K24*'Scoring Dictionary'!$E$12+L24*'Scoring Dictionary'!$E$13+M24*'Scoring Dictionary'!$E$14+P24*'Scoring Dictionary'!$E$17)),3))</x:f>
        <x:v>0</x:v>
      </x:c>
      <x:c r="R24" s="12" t="str">
        <x:f>IF(Q24="","",IF(AND(Q24&gt;=0.8,H24&gt;='Scoring Dictionary'!$F$9,I24&gt;='Scoring Dictionary'!$F$10,P24&gt;='Scoring Dictionary'!$F$17),"PASS","FAIL"))</x:f>
      </x:c>
      <x:c r="S24" s="12" t="str"/>
      <x:c r="T24" s="38" t="str"/>
      <x:c r="U24" s="12" t="str"/>
    </x:row>
    <x:row r="25">
      <x:c r="A25" s="12" t="str">
        <x:v>GEN-024</x:v>
      </x:c>
      <x:c r="B25" s="12" t="str">
        <x:v>DualAgent</x:v>
      </x:c>
      <x:c r="C25" s="12" t="str"/>
      <x:c r="D25" s="12" t="str"/>
      <x:c r="E25" s="12" t="str"/>
      <x:c r="F25" s="12" t="str">
        <x:v>GPT 4o mini</x:v>
      </x:c>
      <x:c r="G25" s="12" t="str">
        <x:v>Gemini 2.5</x:v>
      </x:c>
      <x:c r="H25" s="31" t="str"/>
      <x:c r="I25" s="31" t="str"/>
      <x:c r="J25" s="31" t="str"/>
      <x:c r="K25" s="31" t="str"/>
      <x:c r="L25" s="31" t="str"/>
      <x:c r="M25" s="31" t="str"/>
      <x:c r="N25" s="31" t="str"/>
      <x:c r="O25" s="31" t="str"/>
      <x:c r="P25" s="31" t="str"/>
      <x:c r="Q25" s="39" t="n">
        <x:f>IF(COUNTA(H25:P25)=0,"",ROUND(IF(D25="FE",H25*0.15+I25*0.23+J25*0.15+K25*0.15+L25*0.10+M25*0.10+N25*0.07+P25*0.05,IF(D25="PE",H25*0.15+I25*0.23+J25*0.15+K25*0.15+L25*0.08+M25*0.10+O25*0.09+P25*0.05,H25*'Scoring Dictionary'!$E$9+I25*'Scoring Dictionary'!$E$10+J25*'Scoring Dictionary'!$E$11+K25*'Scoring Dictionary'!$E$12+L25*'Scoring Dictionary'!$E$13+M25*'Scoring Dictionary'!$E$14+P25*'Scoring Dictionary'!$E$17)),3))</x:f>
        <x:v>0</x:v>
      </x:c>
      <x:c r="R25" s="12" t="str">
        <x:f>IF(Q25="","",IF(AND(Q25&gt;=0.8,H25&gt;='Scoring Dictionary'!$F$9,I25&gt;='Scoring Dictionary'!$F$10,P25&gt;='Scoring Dictionary'!$F$17),"PASS","FAIL"))</x:f>
      </x:c>
      <x:c r="S25" s="12" t="str"/>
      <x:c r="T25" s="38" t="str"/>
      <x:c r="U25" s="12" t="str"/>
    </x:row>
    <x:row r="26">
      <x:c r="A26" s="12" t="str">
        <x:v>GEN-025</x:v>
      </x:c>
      <x:c r="B26" s="12" t="str">
        <x:v>DualAgent</x:v>
      </x:c>
      <x:c r="C26" s="12" t="str"/>
      <x:c r="D26" s="12" t="str"/>
      <x:c r="E26" s="12" t="str"/>
      <x:c r="F26" s="12" t="str">
        <x:v>GPT 4o mini</x:v>
      </x:c>
      <x:c r="G26" s="12" t="str">
        <x:v>Gemini 2.5 Flash</x:v>
      </x:c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9" t="n">
        <x:f>IF(COUNTA(H26:P26)=0,"",ROUND(IF(D26="FE",H26*0.15+I26*0.23+J26*0.15+K26*0.15+L26*0.10+M26*0.10+N26*0.07+P26*0.05,IF(D26="PE",H26*0.15+I26*0.23+J26*0.15+K26*0.15+L26*0.08+M26*0.10+O26*0.09+P26*0.05,H26*'Scoring Dictionary'!$E$9+I26*'Scoring Dictionary'!$E$10+J26*'Scoring Dictionary'!$E$11+K26*'Scoring Dictionary'!$E$12+L26*'Scoring Dictionary'!$E$13+M26*'Scoring Dictionary'!$E$14+P26*'Scoring Dictionary'!$E$17)),3))</x:f>
        <x:v>0</x:v>
      </x:c>
      <x:c r="R26" s="12" t="str">
        <x:f>IF(Q26="","",IF(AND(Q26&gt;=0.8,H26&gt;='Scoring Dictionary'!$F$9,I26&gt;='Scoring Dictionary'!$F$10,P26&gt;='Scoring Dictionary'!$F$17),"PASS","FAIL"))</x:f>
      </x:c>
      <x:c r="S26" s="12" t="str"/>
      <x:c r="T26" s="38" t="str"/>
      <x:c r="U26" s="12" t="str"/>
    </x:row>
    <x:row r="27">
      <x:c r="A27" s="12" t="str">
        <x:v>GEN-026</x:v>
      </x:c>
      <x:c r="B27" s="12" t="str">
        <x:v>DualAgent</x:v>
      </x:c>
      <x:c r="C27" s="12" t="str"/>
      <x:c r="D27" s="12" t="str"/>
      <x:c r="E27" s="12" t="str"/>
      <x:c r="F27" s="12" t="str">
        <x:v>GPT 4o mini</x:v>
      </x:c>
      <x:c r="G27" s="12" t="str">
        <x:v>Gemini 2.5 Pro</x:v>
      </x:c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9" t="n">
        <x:f>IF(COUNTA(H27:P27)=0,"",ROUND(IF(D27="FE",H27*0.15+I27*0.23+J27*0.15+K27*0.15+L27*0.10+M27*0.10+N27*0.07+P27*0.05,IF(D27="PE",H27*0.15+I27*0.23+J27*0.15+K27*0.15+L27*0.08+M27*0.10+O27*0.09+P27*0.05,H27*'Scoring Dictionary'!$E$9+I27*'Scoring Dictionary'!$E$10+J27*'Scoring Dictionary'!$E$11+K27*'Scoring Dictionary'!$E$12+L27*'Scoring Dictionary'!$E$13+M27*'Scoring Dictionary'!$E$14+P27*'Scoring Dictionary'!$E$17)),3))</x:f>
        <x:v>0</x:v>
      </x:c>
      <x:c r="R27" s="12" t="str">
        <x:f>IF(Q27="","",IF(AND(Q27&gt;=0.8,H27&gt;='Scoring Dictionary'!$F$9,I27&gt;='Scoring Dictionary'!$F$10,P27&gt;='Scoring Dictionary'!$F$17),"PASS","FAIL"))</x:f>
      </x:c>
      <x:c r="S27" s="12" t="str"/>
      <x:c r="T27" s="38" t="str"/>
      <x:c r="U27" s="12" t="str"/>
    </x:row>
    <x:row r="28">
      <x:c r="A28" s="12" t="str">
        <x:v>GEN-027</x:v>
      </x:c>
      <x:c r="B28" s="12" t="str">
        <x:v>DualAgent</x:v>
      </x:c>
      <x:c r="C28" s="12" t="str"/>
      <x:c r="D28" s="12" t="str"/>
      <x:c r="E28" s="12" t="str"/>
      <x:c r="F28" s="12" t="str">
        <x:v>GPT 4o mini</x:v>
      </x:c>
      <x:c r="G28" s="12" t="str">
        <x:v>Gemini 3.1 Flash Lite</x:v>
      </x:c>
      <x:c r="H28" s="31" t="str"/>
      <x:c r="I28" s="31" t="str"/>
      <x:c r="J28" s="31" t="str"/>
      <x:c r="K28" s="31" t="str"/>
      <x:c r="L28" s="31" t="str"/>
      <x:c r="M28" s="31" t="str"/>
      <x:c r="N28" s="31" t="str"/>
      <x:c r="O28" s="31" t="str"/>
      <x:c r="P28" s="31" t="str"/>
      <x:c r="Q28" s="39" t="n">
        <x:f>IF(COUNTA(H28:P28)=0,"",ROUND(IF(D28="FE",H28*0.15+I28*0.23+J28*0.15+K28*0.15+L28*0.10+M28*0.10+N28*0.07+P28*0.05,IF(D28="PE",H28*0.15+I28*0.23+J28*0.15+K28*0.15+L28*0.08+M28*0.10+O28*0.09+P28*0.05,H28*'Scoring Dictionary'!$E$9+I28*'Scoring Dictionary'!$E$10+J28*'Scoring Dictionary'!$E$11+K28*'Scoring Dictionary'!$E$12+L28*'Scoring Dictionary'!$E$13+M28*'Scoring Dictionary'!$E$14+P28*'Scoring Dictionary'!$E$17)),3))</x:f>
        <x:v>0</x:v>
      </x:c>
      <x:c r="R28" s="12" t="str">
        <x:f>IF(Q28="","",IF(AND(Q28&gt;=0.8,H28&gt;='Scoring Dictionary'!$F$9,I28&gt;='Scoring Dictionary'!$F$10,P28&gt;='Scoring Dictionary'!$F$17),"PASS","FAIL"))</x:f>
      </x:c>
      <x:c r="S28" s="12" t="str"/>
      <x:c r="T28" s="38" t="str"/>
      <x:c r="U28" s="12" t="str"/>
    </x:row>
    <x:row r="29">
      <x:c r="A29" s="12" t="str">
        <x:v>GEN-028</x:v>
      </x:c>
      <x:c r="B29" s="12" t="str">
        <x:v>DualAgent</x:v>
      </x:c>
      <x:c r="C29" s="12" t="str"/>
      <x:c r="D29" s="12" t="str"/>
      <x:c r="E29" s="12" t="str"/>
      <x:c r="F29" s="12" t="str">
        <x:v>GPT 4o mini</x:v>
      </x:c>
      <x:c r="G29" s="12" t="str">
        <x:v>Gemini 3.5 Flash</x:v>
      </x:c>
      <x:c r="H29" s="31" t="str"/>
      <x:c r="I29" s="31" t="str"/>
      <x:c r="J29" s="31" t="str"/>
      <x:c r="K29" s="31" t="str"/>
      <x:c r="L29" s="31" t="str"/>
      <x:c r="M29" s="31" t="str"/>
      <x:c r="N29" s="31" t="str"/>
      <x:c r="O29" s="31" t="str"/>
      <x:c r="P29" s="31" t="str"/>
      <x:c r="Q29" s="39" t="n">
        <x:f>IF(COUNTA(H29:P29)=0,"",ROUND(IF(D29="FE",H29*0.15+I29*0.23+J29*0.15+K29*0.15+L29*0.10+M29*0.10+N29*0.07+P29*0.05,IF(D29="PE",H29*0.15+I29*0.23+J29*0.15+K29*0.15+L29*0.08+M29*0.10+O29*0.09+P29*0.05,H29*'Scoring Dictionary'!$E$9+I29*'Scoring Dictionary'!$E$10+J29*'Scoring Dictionary'!$E$11+K29*'Scoring Dictionary'!$E$12+L29*'Scoring Dictionary'!$E$13+M29*'Scoring Dictionary'!$E$14+P29*'Scoring Dictionary'!$E$17)),3))</x:f>
        <x:v>0</x:v>
      </x:c>
      <x:c r="R29" s="12" t="str">
        <x:f>IF(Q29="","",IF(AND(Q29&gt;=0.8,H29&gt;='Scoring Dictionary'!$F$9,I29&gt;='Scoring Dictionary'!$F$10,P29&gt;='Scoring Dictionary'!$F$17),"PASS","FAIL"))</x:f>
      </x:c>
      <x:c r="S29" s="12" t="str"/>
      <x:c r="T29" s="38" t="str"/>
      <x:c r="U29" s="12" t="str"/>
    </x:row>
    <x:row r="30">
      <x:c r="A30" s="12" t="str">
        <x:v>GEN-029</x:v>
      </x:c>
      <x:c r="B30" s="12" t="str">
        <x:v>DualAgent</x:v>
      </x:c>
      <x:c r="C30" s="12" t="str"/>
      <x:c r="D30" s="12" t="str"/>
      <x:c r="E30" s="12" t="str"/>
      <x:c r="F30" s="12" t="str">
        <x:v>GPT 5.4</x:v>
      </x:c>
      <x:c r="G30" s="12" t="str">
        <x:v>GPT 4o</x:v>
      </x:c>
      <x:c r="H30" s="31" t="str"/>
      <x:c r="I30" s="31" t="str"/>
      <x:c r="J30" s="31" t="str"/>
      <x:c r="K30" s="31" t="str"/>
      <x:c r="L30" s="31" t="str"/>
      <x:c r="M30" s="31" t="str"/>
      <x:c r="N30" s="31" t="str"/>
      <x:c r="O30" s="31" t="str"/>
      <x:c r="P30" s="31" t="str"/>
      <x:c r="Q30" s="39" t="n">
        <x:f>IF(COUNTA(H30:P30)=0,"",ROUND(IF(D30="FE",H30*0.15+I30*0.23+J30*0.15+K30*0.15+L30*0.10+M30*0.10+N30*0.07+P30*0.05,IF(D30="PE",H30*0.15+I30*0.23+J30*0.15+K30*0.15+L30*0.08+M30*0.10+O30*0.09+P30*0.05,H30*'Scoring Dictionary'!$E$9+I30*'Scoring Dictionary'!$E$10+J30*'Scoring Dictionary'!$E$11+K30*'Scoring Dictionary'!$E$12+L30*'Scoring Dictionary'!$E$13+M30*'Scoring Dictionary'!$E$14+P30*'Scoring Dictionary'!$E$17)),3))</x:f>
        <x:v>0</x:v>
      </x:c>
      <x:c r="R30" s="12" t="str">
        <x:f>IF(Q30="","",IF(AND(Q30&gt;=0.8,H30&gt;='Scoring Dictionary'!$F$9,I30&gt;='Scoring Dictionary'!$F$10,P30&gt;='Scoring Dictionary'!$F$17),"PASS","FAIL"))</x:f>
      </x:c>
      <x:c r="S30" s="12" t="str"/>
      <x:c r="T30" s="38" t="str"/>
      <x:c r="U30" s="12" t="str"/>
    </x:row>
    <x:row r="31">
      <x:c r="A31" s="12" t="str">
        <x:v>GEN-030</x:v>
      </x:c>
      <x:c r="B31" s="12" t="str">
        <x:v>DualAgent</x:v>
      </x:c>
      <x:c r="C31" s="12" t="str"/>
      <x:c r="D31" s="12" t="str"/>
      <x:c r="E31" s="12" t="str"/>
      <x:c r="F31" s="12" t="str">
        <x:v>GPT 5.4</x:v>
      </x:c>
      <x:c r="G31" s="12" t="str">
        <x:v>GPT 4o mini</x:v>
      </x:c>
      <x:c r="H31" s="31" t="str"/>
      <x:c r="I31" s="31" t="str"/>
      <x:c r="J31" s="31" t="str"/>
      <x:c r="K31" s="31" t="str"/>
      <x:c r="L31" s="31" t="str"/>
      <x:c r="M31" s="31" t="str"/>
      <x:c r="N31" s="31" t="str"/>
      <x:c r="O31" s="31" t="str"/>
      <x:c r="P31" s="31" t="str"/>
      <x:c r="Q31" s="39" t="n">
        <x:f>IF(COUNTA(H31:P31)=0,"",ROUND(IF(D31="FE",H31*0.15+I31*0.23+J31*0.15+K31*0.15+L31*0.10+M31*0.10+N31*0.07+P31*0.05,IF(D31="PE",H31*0.15+I31*0.23+J31*0.15+K31*0.15+L31*0.08+M31*0.10+O31*0.09+P31*0.05,H31*'Scoring Dictionary'!$E$9+I31*'Scoring Dictionary'!$E$10+J31*'Scoring Dictionary'!$E$11+K31*'Scoring Dictionary'!$E$12+L31*'Scoring Dictionary'!$E$13+M31*'Scoring Dictionary'!$E$14+P31*'Scoring Dictionary'!$E$17)),3))</x:f>
        <x:v>0</x:v>
      </x:c>
      <x:c r="R31" s="12" t="str">
        <x:f>IF(Q31="","",IF(AND(Q31&gt;=0.8,H31&gt;='Scoring Dictionary'!$F$9,I31&gt;='Scoring Dictionary'!$F$10,P31&gt;='Scoring Dictionary'!$F$17),"PASS","FAIL"))</x:f>
      </x:c>
      <x:c r="S31" s="12" t="str"/>
      <x:c r="T31" s="38" t="str"/>
      <x:c r="U31" s="12" t="str"/>
    </x:row>
    <x:row r="32">
      <x:c r="A32" s="12" t="str">
        <x:v>GEN-031</x:v>
      </x:c>
      <x:c r="B32" s="12" t="str">
        <x:v>DualAgent</x:v>
      </x:c>
      <x:c r="C32" s="12" t="str"/>
      <x:c r="D32" s="12" t="str"/>
      <x:c r="E32" s="12" t="str"/>
      <x:c r="F32" s="12" t="str">
        <x:v>GPT 5.4</x:v>
      </x:c>
      <x:c r="G32" s="12" t="str">
        <x:v>GPT 5.4 mini</x:v>
      </x:c>
      <x:c r="H32" s="31" t="str"/>
      <x:c r="I32" s="31" t="str"/>
      <x:c r="J32" s="31" t="str"/>
      <x:c r="K32" s="31" t="str"/>
      <x:c r="L32" s="31" t="str"/>
      <x:c r="M32" s="31" t="str"/>
      <x:c r="N32" s="31" t="str"/>
      <x:c r="O32" s="31" t="str"/>
      <x:c r="P32" s="31" t="str"/>
      <x:c r="Q32" s="39" t="n">
        <x:f>IF(COUNTA(H32:P32)=0,"",ROUND(IF(D32="FE",H32*0.15+I32*0.23+J32*0.15+K32*0.15+L32*0.10+M32*0.10+N32*0.07+P32*0.05,IF(D32="PE",H32*0.15+I32*0.23+J32*0.15+K32*0.15+L32*0.08+M32*0.10+O32*0.09+P32*0.05,H32*'Scoring Dictionary'!$E$9+I32*'Scoring Dictionary'!$E$10+J32*'Scoring Dictionary'!$E$11+K32*'Scoring Dictionary'!$E$12+L32*'Scoring Dictionary'!$E$13+M32*'Scoring Dictionary'!$E$14+P32*'Scoring Dictionary'!$E$17)),3))</x:f>
        <x:v>0</x:v>
      </x:c>
      <x:c r="R32" s="12" t="str">
        <x:f>IF(Q32="","",IF(AND(Q32&gt;=0.8,H32&gt;='Scoring Dictionary'!$F$9,I32&gt;='Scoring Dictionary'!$F$10,P32&gt;='Scoring Dictionary'!$F$17),"PASS","FAIL"))</x:f>
      </x:c>
      <x:c r="S32" s="12" t="str"/>
      <x:c r="T32" s="38" t="str"/>
      <x:c r="U32" s="12" t="str"/>
    </x:row>
    <x:row r="33">
      <x:c r="A33" s="12" t="str">
        <x:v>GEN-032</x:v>
      </x:c>
      <x:c r="B33" s="12" t="str">
        <x:v>DualAgent</x:v>
      </x:c>
      <x:c r="C33" s="12" t="str"/>
      <x:c r="D33" s="12" t="str"/>
      <x:c r="E33" s="12" t="str"/>
      <x:c r="F33" s="12" t="str">
        <x:v>GPT 5.4</x:v>
      </x:c>
      <x:c r="G33" s="12" t="str">
        <x:v>GPT 5.5</x:v>
      </x:c>
      <x:c r="H33" s="31" t="str"/>
      <x:c r="I33" s="31" t="str"/>
      <x:c r="J33" s="31" t="str"/>
      <x:c r="K33" s="31" t="str"/>
      <x:c r="L33" s="31" t="str"/>
      <x:c r="M33" s="31" t="str"/>
      <x:c r="N33" s="31" t="str"/>
      <x:c r="O33" s="31" t="str"/>
      <x:c r="P33" s="31" t="str"/>
      <x:c r="Q33" s="39" t="n">
        <x:f>IF(COUNTA(H33:P33)=0,"",ROUND(IF(D33="FE",H33*0.15+I33*0.23+J33*0.15+K33*0.15+L33*0.10+M33*0.10+N33*0.07+P33*0.05,IF(D33="PE",H33*0.15+I33*0.23+J33*0.15+K33*0.15+L33*0.08+M33*0.10+O33*0.09+P33*0.05,H33*'Scoring Dictionary'!$E$9+I33*'Scoring Dictionary'!$E$10+J33*'Scoring Dictionary'!$E$11+K33*'Scoring Dictionary'!$E$12+L33*'Scoring Dictionary'!$E$13+M33*'Scoring Dictionary'!$E$14+P33*'Scoring Dictionary'!$E$17)),3))</x:f>
        <x:v>0</x:v>
      </x:c>
      <x:c r="R33" s="12" t="str">
        <x:f>IF(Q33="","",IF(AND(Q33&gt;=0.8,H33&gt;='Scoring Dictionary'!$F$9,I33&gt;='Scoring Dictionary'!$F$10,P33&gt;='Scoring Dictionary'!$F$17),"PASS","FAIL"))</x:f>
      </x:c>
      <x:c r="S33" s="12" t="str"/>
      <x:c r="T33" s="38" t="str"/>
      <x:c r="U33" s="12" t="str"/>
    </x:row>
    <x:row r="34">
      <x:c r="A34" s="12" t="str">
        <x:v>GEN-033</x:v>
      </x:c>
      <x:c r="B34" s="12" t="str">
        <x:v>DualAgent</x:v>
      </x:c>
      <x:c r="C34" s="12" t="str"/>
      <x:c r="D34" s="12" t="str"/>
      <x:c r="E34" s="12" t="str"/>
      <x:c r="F34" s="12" t="str">
        <x:v>GPT 5.4</x:v>
      </x:c>
      <x:c r="G34" s="12" t="str">
        <x:v>Gemini 2.5</x:v>
      </x:c>
      <x:c r="H34" s="31" t="str"/>
      <x:c r="I34" s="31" t="str"/>
      <x:c r="J34" s="31" t="str"/>
      <x:c r="K34" s="31" t="str"/>
      <x:c r="L34" s="31" t="str"/>
      <x:c r="M34" s="31" t="str"/>
      <x:c r="N34" s="31" t="str"/>
      <x:c r="O34" s="31" t="str"/>
      <x:c r="P34" s="31" t="str"/>
      <x:c r="Q34" s="39" t="n">
        <x:f>IF(COUNTA(H34:P34)=0,"",ROUND(IF(D34="FE",H34*0.15+I34*0.23+J34*0.15+K34*0.15+L34*0.10+M34*0.10+N34*0.07+P34*0.05,IF(D34="PE",H34*0.15+I34*0.23+J34*0.15+K34*0.15+L34*0.08+M34*0.10+O34*0.09+P34*0.05,H34*'Scoring Dictionary'!$E$9+I34*'Scoring Dictionary'!$E$10+J34*'Scoring Dictionary'!$E$11+K34*'Scoring Dictionary'!$E$12+L34*'Scoring Dictionary'!$E$13+M34*'Scoring Dictionary'!$E$14+P34*'Scoring Dictionary'!$E$17)),3))</x:f>
        <x:v>0</x:v>
      </x:c>
      <x:c r="R34" s="12" t="str">
        <x:f>IF(Q34="","",IF(AND(Q34&gt;=0.8,H34&gt;='Scoring Dictionary'!$F$9,I34&gt;='Scoring Dictionary'!$F$10,P34&gt;='Scoring Dictionary'!$F$17),"PASS","FAIL"))</x:f>
      </x:c>
      <x:c r="S34" s="12" t="str"/>
      <x:c r="T34" s="38" t="str"/>
      <x:c r="U34" s="12" t="str"/>
    </x:row>
    <x:row r="35">
      <x:c r="A35" s="12" t="str">
        <x:v>GEN-034</x:v>
      </x:c>
      <x:c r="B35" s="12" t="str">
        <x:v>DualAgent</x:v>
      </x:c>
      <x:c r="C35" s="12" t="str"/>
      <x:c r="D35" s="12" t="str"/>
      <x:c r="E35" s="12" t="str"/>
      <x:c r="F35" s="12" t="str">
        <x:v>GPT 5.4</x:v>
      </x:c>
      <x:c r="G35" s="12" t="str">
        <x:v>Gemini 2.5 Flash</x:v>
      </x:c>
      <x:c r="H35" s="31" t="str"/>
      <x:c r="I35" s="31" t="str"/>
      <x:c r="J35" s="31" t="str"/>
      <x:c r="K35" s="31" t="str"/>
      <x:c r="L35" s="31" t="str"/>
      <x:c r="M35" s="31" t="str"/>
      <x:c r="N35" s="31" t="str"/>
      <x:c r="O35" s="31" t="str"/>
      <x:c r="P35" s="31" t="str"/>
      <x:c r="Q35" s="39" t="n">
        <x:f>IF(COUNTA(H35:P35)=0,"",ROUND(IF(D35="FE",H35*0.15+I35*0.23+J35*0.15+K35*0.15+L35*0.10+M35*0.10+N35*0.07+P35*0.05,IF(D35="PE",H35*0.15+I35*0.23+J35*0.15+K35*0.15+L35*0.08+M35*0.10+O35*0.09+P35*0.05,H35*'Scoring Dictionary'!$E$9+I35*'Scoring Dictionary'!$E$10+J35*'Scoring Dictionary'!$E$11+K35*'Scoring Dictionary'!$E$12+L35*'Scoring Dictionary'!$E$13+M35*'Scoring Dictionary'!$E$14+P35*'Scoring Dictionary'!$E$17)),3))</x:f>
        <x:v>0</x:v>
      </x:c>
      <x:c r="R35" s="12" t="str">
        <x:f>IF(Q35="","",IF(AND(Q35&gt;=0.8,H35&gt;='Scoring Dictionary'!$F$9,I35&gt;='Scoring Dictionary'!$F$10,P35&gt;='Scoring Dictionary'!$F$17),"PASS","FAIL"))</x:f>
      </x:c>
      <x:c r="S35" s="12" t="str"/>
      <x:c r="T35" s="38" t="str"/>
      <x:c r="U35" s="12" t="str"/>
    </x:row>
    <x:row r="36">
      <x:c r="A36" s="12" t="str">
        <x:v>GEN-035</x:v>
      </x:c>
      <x:c r="B36" s="12" t="str">
        <x:v>DualAgent</x:v>
      </x:c>
      <x:c r="C36" s="12" t="str"/>
      <x:c r="D36" s="12" t="str"/>
      <x:c r="E36" s="12" t="str"/>
      <x:c r="F36" s="12" t="str">
        <x:v>GPT 5.4</x:v>
      </x:c>
      <x:c r="G36" s="12" t="str">
        <x:v>Gemini 2.5 Pro</x:v>
      </x:c>
      <x:c r="H36" s="31" t="str"/>
      <x:c r="I36" s="31" t="str"/>
      <x:c r="J36" s="31" t="str"/>
      <x:c r="K36" s="31" t="str"/>
      <x:c r="L36" s="31" t="str"/>
      <x:c r="M36" s="31" t="str"/>
      <x:c r="N36" s="31" t="str"/>
      <x:c r="O36" s="31" t="str"/>
      <x:c r="P36" s="31" t="str"/>
      <x:c r="Q36" s="39" t="n">
        <x:f>IF(COUNTA(H36:P36)=0,"",ROUND(IF(D36="FE",H36*0.15+I36*0.23+J36*0.15+K36*0.15+L36*0.10+M36*0.10+N36*0.07+P36*0.05,IF(D36="PE",H36*0.15+I36*0.23+J36*0.15+K36*0.15+L36*0.08+M36*0.10+O36*0.09+P36*0.05,H36*'Scoring Dictionary'!$E$9+I36*'Scoring Dictionary'!$E$10+J36*'Scoring Dictionary'!$E$11+K36*'Scoring Dictionary'!$E$12+L36*'Scoring Dictionary'!$E$13+M36*'Scoring Dictionary'!$E$14+P36*'Scoring Dictionary'!$E$17)),3))</x:f>
        <x:v>0</x:v>
      </x:c>
      <x:c r="R36" s="12" t="str">
        <x:f>IF(Q36="","",IF(AND(Q36&gt;=0.8,H36&gt;='Scoring Dictionary'!$F$9,I36&gt;='Scoring Dictionary'!$F$10,P36&gt;='Scoring Dictionary'!$F$17),"PASS","FAIL"))</x:f>
      </x:c>
      <x:c r="S36" s="12" t="str"/>
      <x:c r="T36" s="38" t="str"/>
      <x:c r="U36" s="12" t="str"/>
    </x:row>
    <x:row r="37">
      <x:c r="A37" s="12" t="str">
        <x:v>GEN-036</x:v>
      </x:c>
      <x:c r="B37" s="12" t="str">
        <x:v>DualAgent</x:v>
      </x:c>
      <x:c r="C37" s="12" t="str"/>
      <x:c r="D37" s="12" t="str"/>
      <x:c r="E37" s="12" t="str"/>
      <x:c r="F37" s="12" t="str">
        <x:v>GPT 5.4</x:v>
      </x:c>
      <x:c r="G37" s="12" t="str">
        <x:v>Gemini 3.1 Flash Lite</x:v>
      </x:c>
      <x:c r="H37" s="31" t="str"/>
      <x:c r="I37" s="31" t="str"/>
      <x:c r="J37" s="31" t="str"/>
      <x:c r="K37" s="31" t="str"/>
      <x:c r="L37" s="31" t="str"/>
      <x:c r="M37" s="31" t="str"/>
      <x:c r="N37" s="31" t="str"/>
      <x:c r="O37" s="31" t="str"/>
      <x:c r="P37" s="31" t="str"/>
      <x:c r="Q37" s="39" t="n">
        <x:f>IF(COUNTA(H37:P37)=0,"",ROUND(IF(D37="FE",H37*0.15+I37*0.23+J37*0.15+K37*0.15+L37*0.10+M37*0.10+N37*0.07+P37*0.05,IF(D37="PE",H37*0.15+I37*0.23+J37*0.15+K37*0.15+L37*0.08+M37*0.10+O37*0.09+P37*0.05,H37*'Scoring Dictionary'!$E$9+I37*'Scoring Dictionary'!$E$10+J37*'Scoring Dictionary'!$E$11+K37*'Scoring Dictionary'!$E$12+L37*'Scoring Dictionary'!$E$13+M37*'Scoring Dictionary'!$E$14+P37*'Scoring Dictionary'!$E$17)),3))</x:f>
        <x:v>0</x:v>
      </x:c>
      <x:c r="R37" s="12" t="str">
        <x:f>IF(Q37="","",IF(AND(Q37&gt;=0.8,H37&gt;='Scoring Dictionary'!$F$9,I37&gt;='Scoring Dictionary'!$F$10,P37&gt;='Scoring Dictionary'!$F$17),"PASS","FAIL"))</x:f>
      </x:c>
      <x:c r="S37" s="12" t="str"/>
      <x:c r="T37" s="38" t="str"/>
      <x:c r="U37" s="12" t="str"/>
    </x:row>
    <x:row r="38">
      <x:c r="A38" s="12" t="str">
        <x:v>GEN-037</x:v>
      </x:c>
      <x:c r="B38" s="12" t="str">
        <x:v>DualAgent</x:v>
      </x:c>
      <x:c r="C38" s="12" t="str"/>
      <x:c r="D38" s="12" t="str"/>
      <x:c r="E38" s="12" t="str"/>
      <x:c r="F38" s="12" t="str">
        <x:v>GPT 5.4</x:v>
      </x:c>
      <x:c r="G38" s="12" t="str">
        <x:v>Gemini 3.5 Flash</x:v>
      </x:c>
      <x:c r="H38" s="31" t="str"/>
      <x:c r="I38" s="31" t="str"/>
      <x:c r="J38" s="31" t="str"/>
      <x:c r="K38" s="31" t="str"/>
      <x:c r="L38" s="31" t="str"/>
      <x:c r="M38" s="31" t="str"/>
      <x:c r="N38" s="31" t="str"/>
      <x:c r="O38" s="31" t="str"/>
      <x:c r="P38" s="31" t="str"/>
      <x:c r="Q38" s="39" t="n">
        <x:f>IF(COUNTA(H38:P38)=0,"",ROUND(IF(D38="FE",H38*0.15+I38*0.23+J38*0.15+K38*0.15+L38*0.10+M38*0.10+N38*0.07+P38*0.05,IF(D38="PE",H38*0.15+I38*0.23+J38*0.15+K38*0.15+L38*0.08+M38*0.10+O38*0.09+P38*0.05,H38*'Scoring Dictionary'!$E$9+I38*'Scoring Dictionary'!$E$10+J38*'Scoring Dictionary'!$E$11+K38*'Scoring Dictionary'!$E$12+L38*'Scoring Dictionary'!$E$13+M38*'Scoring Dictionary'!$E$14+P38*'Scoring Dictionary'!$E$17)),3))</x:f>
        <x:v>0</x:v>
      </x:c>
      <x:c r="R38" s="12" t="str">
        <x:f>IF(Q38="","",IF(AND(Q38&gt;=0.8,H38&gt;='Scoring Dictionary'!$F$9,I38&gt;='Scoring Dictionary'!$F$10,P38&gt;='Scoring Dictionary'!$F$17),"PASS","FAIL"))</x:f>
      </x:c>
      <x:c r="S38" s="12" t="str"/>
      <x:c r="T38" s="38" t="str"/>
      <x:c r="U38" s="12" t="str"/>
    </x:row>
    <x:row r="39">
      <x:c r="A39" s="12" t="str">
        <x:v>GEN-038</x:v>
      </x:c>
      <x:c r="B39" s="12" t="str">
        <x:v>DualAgent</x:v>
      </x:c>
      <x:c r="C39" s="12" t="str"/>
      <x:c r="D39" s="12" t="str"/>
      <x:c r="E39" s="12" t="str"/>
      <x:c r="F39" s="12" t="str">
        <x:v>GPT 5.4 mini</x:v>
      </x:c>
      <x:c r="G39" s="12" t="str">
        <x:v>GPT 4o</x:v>
      </x:c>
      <x:c r="H39" s="31" t="str"/>
      <x:c r="I39" s="31" t="str"/>
      <x:c r="J39" s="31" t="str"/>
      <x:c r="K39" s="31" t="str"/>
      <x:c r="L39" s="31" t="str"/>
      <x:c r="M39" s="31" t="str"/>
      <x:c r="N39" s="31" t="str"/>
      <x:c r="O39" s="31" t="str"/>
      <x:c r="P39" s="31" t="str"/>
      <x:c r="Q39" s="39" t="n">
        <x:f>IF(COUNTA(H39:P39)=0,"",ROUND(IF(D39="FE",H39*0.15+I39*0.23+J39*0.15+K39*0.15+L39*0.10+M39*0.10+N39*0.07+P39*0.05,IF(D39="PE",H39*0.15+I39*0.23+J39*0.15+K39*0.15+L39*0.08+M39*0.10+O39*0.09+P39*0.05,H39*'Scoring Dictionary'!$E$9+I39*'Scoring Dictionary'!$E$10+J39*'Scoring Dictionary'!$E$11+K39*'Scoring Dictionary'!$E$12+L39*'Scoring Dictionary'!$E$13+M39*'Scoring Dictionary'!$E$14+P39*'Scoring Dictionary'!$E$17)),3))</x:f>
        <x:v>0</x:v>
      </x:c>
      <x:c r="R39" s="12" t="str">
        <x:f>IF(Q39="","",IF(AND(Q39&gt;=0.8,H39&gt;='Scoring Dictionary'!$F$9,I39&gt;='Scoring Dictionary'!$F$10,P39&gt;='Scoring Dictionary'!$F$17),"PASS","FAIL"))</x:f>
      </x:c>
      <x:c r="S39" s="12" t="str"/>
      <x:c r="T39" s="38" t="str"/>
      <x:c r="U39" s="12" t="str"/>
    </x:row>
    <x:row r="40">
      <x:c r="A40" s="12" t="str">
        <x:v>GEN-039</x:v>
      </x:c>
      <x:c r="B40" s="12" t="str">
        <x:v>DualAgent</x:v>
      </x:c>
      <x:c r="C40" s="12" t="str"/>
      <x:c r="D40" s="12" t="str"/>
      <x:c r="E40" s="12" t="str"/>
      <x:c r="F40" s="12" t="str">
        <x:v>GPT 5.4 mini</x:v>
      </x:c>
      <x:c r="G40" s="12" t="str">
        <x:v>GPT 4o mini</x:v>
      </x:c>
      <x:c r="H40" s="31" t="str"/>
      <x:c r="I40" s="31" t="str"/>
      <x:c r="J40" s="31" t="str"/>
      <x:c r="K40" s="31" t="str"/>
      <x:c r="L40" s="31" t="str"/>
      <x:c r="M40" s="31" t="str"/>
      <x:c r="N40" s="31" t="str"/>
      <x:c r="O40" s="31" t="str"/>
      <x:c r="P40" s="31" t="str"/>
      <x:c r="Q40" s="39" t="n">
        <x:f>IF(COUNTA(H40:P40)=0,"",ROUND(IF(D40="FE",H40*0.15+I40*0.23+J40*0.15+K40*0.15+L40*0.10+M40*0.10+N40*0.07+P40*0.05,IF(D40="PE",H40*0.15+I40*0.23+J40*0.15+K40*0.15+L40*0.08+M40*0.10+O40*0.09+P40*0.05,H40*'Scoring Dictionary'!$E$9+I40*'Scoring Dictionary'!$E$10+J40*'Scoring Dictionary'!$E$11+K40*'Scoring Dictionary'!$E$12+L40*'Scoring Dictionary'!$E$13+M40*'Scoring Dictionary'!$E$14+P40*'Scoring Dictionary'!$E$17)),3))</x:f>
        <x:v>0</x:v>
      </x:c>
      <x:c r="R40" s="12" t="str">
        <x:f>IF(Q40="","",IF(AND(Q40&gt;=0.8,H40&gt;='Scoring Dictionary'!$F$9,I40&gt;='Scoring Dictionary'!$F$10,P40&gt;='Scoring Dictionary'!$F$17),"PASS","FAIL"))</x:f>
      </x:c>
      <x:c r="S40" s="12" t="str"/>
      <x:c r="T40" s="38" t="str"/>
      <x:c r="U40" s="12" t="str"/>
    </x:row>
    <x:row r="41">
      <x:c r="A41" s="12" t="str">
        <x:v>GEN-040</x:v>
      </x:c>
      <x:c r="B41" s="12" t="str">
        <x:v>DualAgent</x:v>
      </x:c>
      <x:c r="C41" s="12" t="str"/>
      <x:c r="D41" s="12" t="str"/>
      <x:c r="E41" s="12" t="str"/>
      <x:c r="F41" s="12" t="str">
        <x:v>GPT 5.4 mini</x:v>
      </x:c>
      <x:c r="G41" s="12" t="str">
        <x:v>GPT 5.4</x:v>
      </x:c>
      <x:c r="H41" s="31" t="str"/>
      <x:c r="I41" s="31" t="str"/>
      <x:c r="J41" s="31" t="str"/>
      <x:c r="K41" s="31" t="str"/>
      <x:c r="L41" s="31" t="str"/>
      <x:c r="M41" s="31" t="str"/>
      <x:c r="N41" s="31" t="str"/>
      <x:c r="O41" s="31" t="str"/>
      <x:c r="P41" s="31" t="str"/>
      <x:c r="Q41" s="39" t="n">
        <x:f>IF(COUNTA(H41:P41)=0,"",ROUND(IF(D41="FE",H41*0.15+I41*0.23+J41*0.15+K41*0.15+L41*0.10+M41*0.10+N41*0.07+P41*0.05,IF(D41="PE",H41*0.15+I41*0.23+J41*0.15+K41*0.15+L41*0.08+M41*0.10+O41*0.09+P41*0.05,H41*'Scoring Dictionary'!$E$9+I41*'Scoring Dictionary'!$E$10+J41*'Scoring Dictionary'!$E$11+K41*'Scoring Dictionary'!$E$12+L41*'Scoring Dictionary'!$E$13+M41*'Scoring Dictionary'!$E$14+P41*'Scoring Dictionary'!$E$17)),3))</x:f>
        <x:v>0</x:v>
      </x:c>
      <x:c r="R41" s="12" t="str">
        <x:f>IF(Q41="","",IF(AND(Q41&gt;=0.8,H41&gt;='Scoring Dictionary'!$F$9,I41&gt;='Scoring Dictionary'!$F$10,P41&gt;='Scoring Dictionary'!$F$17),"PASS","FAIL"))</x:f>
      </x:c>
      <x:c r="S41" s="12" t="str"/>
      <x:c r="T41" s="38" t="str"/>
      <x:c r="U41" s="12" t="str"/>
    </x:row>
    <x:row r="42">
      <x:c r="A42" s="12" t="str">
        <x:v>GEN-041</x:v>
      </x:c>
      <x:c r="B42" s="12" t="str">
        <x:v>DualAgent</x:v>
      </x:c>
      <x:c r="C42" s="12" t="str"/>
      <x:c r="D42" s="12" t="str"/>
      <x:c r="E42" s="12" t="str"/>
      <x:c r="F42" s="12" t="str">
        <x:v>GPT 5.4 mini</x:v>
      </x:c>
      <x:c r="G42" s="12" t="str">
        <x:v>GPT 5.5</x:v>
      </x:c>
      <x:c r="H42" s="31" t="str"/>
      <x:c r="I42" s="31" t="str"/>
      <x:c r="J42" s="31" t="str"/>
      <x:c r="K42" s="31" t="str"/>
      <x:c r="L42" s="31" t="str"/>
      <x:c r="M42" s="31" t="str"/>
      <x:c r="N42" s="31" t="str"/>
      <x:c r="O42" s="31" t="str"/>
      <x:c r="P42" s="31" t="str"/>
      <x:c r="Q42" s="39" t="n">
        <x:f>IF(COUNTA(H42:P42)=0,"",ROUND(IF(D42="FE",H42*0.15+I42*0.23+J42*0.15+K42*0.15+L42*0.10+M42*0.10+N42*0.07+P42*0.05,IF(D42="PE",H42*0.15+I42*0.23+J42*0.15+K42*0.15+L42*0.08+M42*0.10+O42*0.09+P42*0.05,H42*'Scoring Dictionary'!$E$9+I42*'Scoring Dictionary'!$E$10+J42*'Scoring Dictionary'!$E$11+K42*'Scoring Dictionary'!$E$12+L42*'Scoring Dictionary'!$E$13+M42*'Scoring Dictionary'!$E$14+P42*'Scoring Dictionary'!$E$17)),3))</x:f>
        <x:v>0</x:v>
      </x:c>
      <x:c r="R42" s="12" t="str">
        <x:f>IF(Q42="","",IF(AND(Q42&gt;=0.8,H42&gt;='Scoring Dictionary'!$F$9,I42&gt;='Scoring Dictionary'!$F$10,P42&gt;='Scoring Dictionary'!$F$17),"PASS","FAIL"))</x:f>
      </x:c>
      <x:c r="S42" s="12" t="str"/>
      <x:c r="T42" s="38" t="str"/>
      <x:c r="U42" s="12" t="str"/>
    </x:row>
    <x:row r="43">
      <x:c r="A43" s="12" t="str">
        <x:v>GEN-042</x:v>
      </x:c>
      <x:c r="B43" s="12" t="str">
        <x:v>DualAgent</x:v>
      </x:c>
      <x:c r="C43" s="12" t="str"/>
      <x:c r="D43" s="12" t="str"/>
      <x:c r="E43" s="12" t="str"/>
      <x:c r="F43" s="12" t="str">
        <x:v>GPT 5.4 mini</x:v>
      </x:c>
      <x:c r="G43" s="12" t="str">
        <x:v>Gemini 2.5</x:v>
      </x:c>
      <x:c r="H43" s="31" t="str"/>
      <x:c r="I43" s="31" t="str"/>
      <x:c r="J43" s="31" t="str"/>
      <x:c r="K43" s="31" t="str"/>
      <x:c r="L43" s="31" t="str"/>
      <x:c r="M43" s="31" t="str"/>
      <x:c r="N43" s="31" t="str"/>
      <x:c r="O43" s="31" t="str"/>
      <x:c r="P43" s="31" t="str"/>
      <x:c r="Q43" s="39" t="n">
        <x:f>IF(COUNTA(H43:P43)=0,"",ROUND(IF(D43="FE",H43*0.15+I43*0.23+J43*0.15+K43*0.15+L43*0.10+M43*0.10+N43*0.07+P43*0.05,IF(D43="PE",H43*0.15+I43*0.23+J43*0.15+K43*0.15+L43*0.08+M43*0.10+O43*0.09+P43*0.05,H43*'Scoring Dictionary'!$E$9+I43*'Scoring Dictionary'!$E$10+J43*'Scoring Dictionary'!$E$11+K43*'Scoring Dictionary'!$E$12+L43*'Scoring Dictionary'!$E$13+M43*'Scoring Dictionary'!$E$14+P43*'Scoring Dictionary'!$E$17)),3))</x:f>
        <x:v>0</x:v>
      </x:c>
      <x:c r="R43" s="12" t="str">
        <x:f>IF(Q43="","",IF(AND(Q43&gt;=0.8,H43&gt;='Scoring Dictionary'!$F$9,I43&gt;='Scoring Dictionary'!$F$10,P43&gt;='Scoring Dictionary'!$F$17),"PASS","FAIL"))</x:f>
      </x:c>
      <x:c r="S43" s="12" t="str"/>
      <x:c r="T43" s="38" t="str"/>
      <x:c r="U43" s="12" t="str"/>
    </x:row>
    <x:row r="44">
      <x:c r="A44" s="12" t="str">
        <x:v>GEN-043</x:v>
      </x:c>
      <x:c r="B44" s="12" t="str">
        <x:v>DualAgent</x:v>
      </x:c>
      <x:c r="C44" s="12" t="str"/>
      <x:c r="D44" s="12" t="str"/>
      <x:c r="E44" s="12" t="str"/>
      <x:c r="F44" s="12" t="str">
        <x:v>GPT 5.4 mini</x:v>
      </x:c>
      <x:c r="G44" s="12" t="str">
        <x:v>Gemini 2.5 Flash</x:v>
      </x:c>
      <x:c r="H44" s="31" t="str"/>
      <x:c r="I44" s="31" t="str"/>
      <x:c r="J44" s="31" t="str"/>
      <x:c r="K44" s="31" t="str"/>
      <x:c r="L44" s="31" t="str"/>
      <x:c r="M44" s="31" t="str"/>
      <x:c r="N44" s="31" t="str"/>
      <x:c r="O44" s="31" t="str"/>
      <x:c r="P44" s="31" t="str"/>
      <x:c r="Q44" s="39" t="n">
        <x:f>IF(COUNTA(H44:P44)=0,"",ROUND(IF(D44="FE",H44*0.15+I44*0.23+J44*0.15+K44*0.15+L44*0.10+M44*0.10+N44*0.07+P44*0.05,IF(D44="PE",H44*0.15+I44*0.23+J44*0.15+K44*0.15+L44*0.08+M44*0.10+O44*0.09+P44*0.05,H44*'Scoring Dictionary'!$E$9+I44*'Scoring Dictionary'!$E$10+J44*'Scoring Dictionary'!$E$11+K44*'Scoring Dictionary'!$E$12+L44*'Scoring Dictionary'!$E$13+M44*'Scoring Dictionary'!$E$14+P44*'Scoring Dictionary'!$E$17)),3))</x:f>
        <x:v>0</x:v>
      </x:c>
      <x:c r="R44" s="12" t="str">
        <x:f>IF(Q44="","",IF(AND(Q44&gt;=0.8,H44&gt;='Scoring Dictionary'!$F$9,I44&gt;='Scoring Dictionary'!$F$10,P44&gt;='Scoring Dictionary'!$F$17),"PASS","FAIL"))</x:f>
      </x:c>
      <x:c r="S44" s="12" t="str"/>
      <x:c r="T44" s="38" t="str"/>
      <x:c r="U44" s="12" t="str"/>
    </x:row>
    <x:row r="45">
      <x:c r="A45" s="12" t="str">
        <x:v>GEN-044</x:v>
      </x:c>
      <x:c r="B45" s="12" t="str">
        <x:v>DualAgent</x:v>
      </x:c>
      <x:c r="C45" s="12" t="str"/>
      <x:c r="D45" s="12" t="str"/>
      <x:c r="E45" s="12" t="str"/>
      <x:c r="F45" s="12" t="str">
        <x:v>GPT 5.4 mini</x:v>
      </x:c>
      <x:c r="G45" s="12" t="str">
        <x:v>Gemini 2.5 Pro</x:v>
      </x:c>
      <x:c r="H45" s="31" t="str"/>
      <x:c r="I45" s="31" t="str"/>
      <x:c r="J45" s="31" t="str"/>
      <x:c r="K45" s="31" t="str"/>
      <x:c r="L45" s="31" t="str"/>
      <x:c r="M45" s="31" t="str"/>
      <x:c r="N45" s="31" t="str"/>
      <x:c r="O45" s="31" t="str"/>
      <x:c r="P45" s="31" t="str"/>
      <x:c r="Q45" s="39" t="n">
        <x:f>IF(COUNTA(H45:P45)=0,"",ROUND(IF(D45="FE",H45*0.15+I45*0.23+J45*0.15+K45*0.15+L45*0.10+M45*0.10+N45*0.07+P45*0.05,IF(D45="PE",H45*0.15+I45*0.23+J45*0.15+K45*0.15+L45*0.08+M45*0.10+O45*0.09+P45*0.05,H45*'Scoring Dictionary'!$E$9+I45*'Scoring Dictionary'!$E$10+J45*'Scoring Dictionary'!$E$11+K45*'Scoring Dictionary'!$E$12+L45*'Scoring Dictionary'!$E$13+M45*'Scoring Dictionary'!$E$14+P45*'Scoring Dictionary'!$E$17)),3))</x:f>
        <x:v>0</x:v>
      </x:c>
      <x:c r="R45" s="12" t="str">
        <x:f>IF(Q45="","",IF(AND(Q45&gt;=0.8,H45&gt;='Scoring Dictionary'!$F$9,I45&gt;='Scoring Dictionary'!$F$10,P45&gt;='Scoring Dictionary'!$F$17),"PASS","FAIL"))</x:f>
      </x:c>
      <x:c r="S45" s="12" t="str"/>
      <x:c r="T45" s="38" t="str"/>
      <x:c r="U45" s="12" t="str"/>
    </x:row>
    <x:row r="46">
      <x:c r="A46" s="12" t="str">
        <x:v>GEN-045</x:v>
      </x:c>
      <x:c r="B46" s="12" t="str">
        <x:v>DualAgent</x:v>
      </x:c>
      <x:c r="C46" s="12" t="str"/>
      <x:c r="D46" s="12" t="str"/>
      <x:c r="E46" s="12" t="str"/>
      <x:c r="F46" s="12" t="str">
        <x:v>GPT 5.4 mini</x:v>
      </x:c>
      <x:c r="G46" s="12" t="str">
        <x:v>Gemini 3.1 Flash Lite</x:v>
      </x:c>
      <x:c r="H46" s="31" t="str"/>
      <x:c r="I46" s="31" t="str"/>
      <x:c r="J46" s="31" t="str"/>
      <x:c r="K46" s="31" t="str"/>
      <x:c r="L46" s="31" t="str"/>
      <x:c r="M46" s="31" t="str"/>
      <x:c r="N46" s="31" t="str"/>
      <x:c r="O46" s="31" t="str"/>
      <x:c r="P46" s="31" t="str"/>
      <x:c r="Q46" s="39" t="n">
        <x:f>IF(COUNTA(H46:P46)=0,"",ROUND(IF(D46="FE",H46*0.15+I46*0.23+J46*0.15+K46*0.15+L46*0.10+M46*0.10+N46*0.07+P46*0.05,IF(D46="PE",H46*0.15+I46*0.23+J46*0.15+K46*0.15+L46*0.08+M46*0.10+O46*0.09+P46*0.05,H46*'Scoring Dictionary'!$E$9+I46*'Scoring Dictionary'!$E$10+J46*'Scoring Dictionary'!$E$11+K46*'Scoring Dictionary'!$E$12+L46*'Scoring Dictionary'!$E$13+M46*'Scoring Dictionary'!$E$14+P46*'Scoring Dictionary'!$E$17)),3))</x:f>
        <x:v>0</x:v>
      </x:c>
      <x:c r="R46" s="12" t="str">
        <x:f>IF(Q46="","",IF(AND(Q46&gt;=0.8,H46&gt;='Scoring Dictionary'!$F$9,I46&gt;='Scoring Dictionary'!$F$10,P46&gt;='Scoring Dictionary'!$F$17),"PASS","FAIL"))</x:f>
      </x:c>
      <x:c r="S46" s="12" t="str"/>
      <x:c r="T46" s="38" t="str"/>
      <x:c r="U46" s="12" t="str"/>
    </x:row>
    <x:row r="47">
      <x:c r="A47" s="12" t="str">
        <x:v>GEN-046</x:v>
      </x:c>
      <x:c r="B47" s="12" t="str">
        <x:v>DualAgent</x:v>
      </x:c>
      <x:c r="C47" s="12" t="str"/>
      <x:c r="D47" s="12" t="str"/>
      <x:c r="E47" s="12" t="str"/>
      <x:c r="F47" s="12" t="str">
        <x:v>GPT 5.4 mini</x:v>
      </x:c>
      <x:c r="G47" s="12" t="str">
        <x:v>Gemini 3.5 Flash</x:v>
      </x:c>
      <x:c r="H47" s="31" t="str"/>
      <x:c r="I47" s="31" t="str"/>
      <x:c r="J47" s="31" t="str"/>
      <x:c r="K47" s="31" t="str"/>
      <x:c r="L47" s="31" t="str"/>
      <x:c r="M47" s="31" t="str"/>
      <x:c r="N47" s="31" t="str"/>
      <x:c r="O47" s="31" t="str"/>
      <x:c r="P47" s="31" t="str"/>
      <x:c r="Q47" s="39" t="n">
        <x:f>IF(COUNTA(H47:P47)=0,"",ROUND(IF(D47="FE",H47*0.15+I47*0.23+J47*0.15+K47*0.15+L47*0.10+M47*0.10+N47*0.07+P47*0.05,IF(D47="PE",H47*0.15+I47*0.23+J47*0.15+K47*0.15+L47*0.08+M47*0.10+O47*0.09+P47*0.05,H47*'Scoring Dictionary'!$E$9+I47*'Scoring Dictionary'!$E$10+J47*'Scoring Dictionary'!$E$11+K47*'Scoring Dictionary'!$E$12+L47*'Scoring Dictionary'!$E$13+M47*'Scoring Dictionary'!$E$14+P47*'Scoring Dictionary'!$E$17)),3))</x:f>
        <x:v>0</x:v>
      </x:c>
      <x:c r="R47" s="12" t="str">
        <x:f>IF(Q47="","",IF(AND(Q47&gt;=0.8,H47&gt;='Scoring Dictionary'!$F$9,I47&gt;='Scoring Dictionary'!$F$10,P47&gt;='Scoring Dictionary'!$F$17),"PASS","FAIL"))</x:f>
      </x:c>
      <x:c r="S47" s="12" t="str"/>
      <x:c r="T47" s="38" t="str"/>
      <x:c r="U47" s="12" t="str"/>
    </x:row>
    <x:row r="48">
      <x:c r="A48" s="12" t="str">
        <x:v>GEN-047</x:v>
      </x:c>
      <x:c r="B48" s="12" t="str">
        <x:v>DualAgent</x:v>
      </x:c>
      <x:c r="C48" s="12" t="str"/>
      <x:c r="D48" s="12" t="str"/>
      <x:c r="E48" s="12" t="str"/>
      <x:c r="F48" s="12" t="str">
        <x:v>GPT 5.5</x:v>
      </x:c>
      <x:c r="G48" s="12" t="str">
        <x:v>GPT 4o</x:v>
      </x:c>
      <x:c r="H48" s="31" t="str"/>
      <x:c r="I48" s="31" t="str"/>
      <x:c r="J48" s="31" t="str"/>
      <x:c r="K48" s="31" t="str"/>
      <x:c r="L48" s="31" t="str"/>
      <x:c r="M48" s="31" t="str"/>
      <x:c r="N48" s="31" t="str"/>
      <x:c r="O48" s="31" t="str"/>
      <x:c r="P48" s="31" t="str"/>
      <x:c r="Q48" s="39" t="n">
        <x:f>IF(COUNTA(H48:P48)=0,"",ROUND(IF(D48="FE",H48*0.15+I48*0.23+J48*0.15+K48*0.15+L48*0.10+M48*0.10+N48*0.07+P48*0.05,IF(D48="PE",H48*0.15+I48*0.23+J48*0.15+K48*0.15+L48*0.08+M48*0.10+O48*0.09+P48*0.05,H48*'Scoring Dictionary'!$E$9+I48*'Scoring Dictionary'!$E$10+J48*'Scoring Dictionary'!$E$11+K48*'Scoring Dictionary'!$E$12+L48*'Scoring Dictionary'!$E$13+M48*'Scoring Dictionary'!$E$14+P48*'Scoring Dictionary'!$E$17)),3))</x:f>
        <x:v>0</x:v>
      </x:c>
      <x:c r="R48" s="12" t="str">
        <x:f>IF(Q48="","",IF(AND(Q48&gt;=0.8,H48&gt;='Scoring Dictionary'!$F$9,I48&gt;='Scoring Dictionary'!$F$10,P48&gt;='Scoring Dictionary'!$F$17),"PASS","FAIL"))</x:f>
      </x:c>
      <x:c r="S48" s="12" t="str"/>
      <x:c r="T48" s="38" t="str"/>
      <x:c r="U48" s="12" t="str"/>
    </x:row>
    <x:row r="49">
      <x:c r="A49" s="12" t="str">
        <x:v>GEN-048</x:v>
      </x:c>
      <x:c r="B49" s="12" t="str">
        <x:v>DualAgent</x:v>
      </x:c>
      <x:c r="C49" s="12" t="str"/>
      <x:c r="D49" s="12" t="str"/>
      <x:c r="E49" s="12" t="str"/>
      <x:c r="F49" s="12" t="str">
        <x:v>GPT 5.5</x:v>
      </x:c>
      <x:c r="G49" s="12" t="str">
        <x:v>GPT 4o mini</x:v>
      </x:c>
      <x:c r="H49" s="31" t="str"/>
      <x:c r="I49" s="31" t="str"/>
      <x:c r="J49" s="31" t="str"/>
      <x:c r="K49" s="31" t="str"/>
      <x:c r="L49" s="31" t="str"/>
      <x:c r="M49" s="31" t="str"/>
      <x:c r="N49" s="31" t="str"/>
      <x:c r="O49" s="31" t="str"/>
      <x:c r="P49" s="31" t="str"/>
      <x:c r="Q49" s="39" t="n">
        <x:f>IF(COUNTA(H49:P49)=0,"",ROUND(IF(D49="FE",H49*0.15+I49*0.23+J49*0.15+K49*0.15+L49*0.10+M49*0.10+N49*0.07+P49*0.05,IF(D49="PE",H49*0.15+I49*0.23+J49*0.15+K49*0.15+L49*0.08+M49*0.10+O49*0.09+P49*0.05,H49*'Scoring Dictionary'!$E$9+I49*'Scoring Dictionary'!$E$10+J49*'Scoring Dictionary'!$E$11+K49*'Scoring Dictionary'!$E$12+L49*'Scoring Dictionary'!$E$13+M49*'Scoring Dictionary'!$E$14+P49*'Scoring Dictionary'!$E$17)),3))</x:f>
        <x:v>0</x:v>
      </x:c>
      <x:c r="R49" s="12" t="str">
        <x:f>IF(Q49="","",IF(AND(Q49&gt;=0.8,H49&gt;='Scoring Dictionary'!$F$9,I49&gt;='Scoring Dictionary'!$F$10,P49&gt;='Scoring Dictionary'!$F$17),"PASS","FAIL"))</x:f>
      </x:c>
      <x:c r="S49" s="12" t="str"/>
      <x:c r="T49" s="38" t="str"/>
      <x:c r="U49" s="12" t="str"/>
    </x:row>
    <x:row r="50">
      <x:c r="A50" s="12" t="str">
        <x:v>GEN-049</x:v>
      </x:c>
      <x:c r="B50" s="12" t="str">
        <x:v>DualAgent</x:v>
      </x:c>
      <x:c r="C50" s="12" t="str"/>
      <x:c r="D50" s="12" t="str"/>
      <x:c r="E50" s="12" t="str"/>
      <x:c r="F50" s="12" t="str">
        <x:v>GPT 5.5</x:v>
      </x:c>
      <x:c r="G50" s="12" t="str">
        <x:v>GPT 5.4</x:v>
      </x:c>
      <x:c r="H50" s="31" t="str"/>
      <x:c r="I50" s="31" t="str"/>
      <x:c r="J50" s="31" t="str"/>
      <x:c r="K50" s="31" t="str"/>
      <x:c r="L50" s="31" t="str"/>
      <x:c r="M50" s="31" t="str"/>
      <x:c r="N50" s="31" t="str"/>
      <x:c r="O50" s="31" t="str"/>
      <x:c r="P50" s="31" t="str"/>
      <x:c r="Q50" s="39" t="n">
        <x:f>IF(COUNTA(H50:P50)=0,"",ROUND(IF(D50="FE",H50*0.15+I50*0.23+J50*0.15+K50*0.15+L50*0.10+M50*0.10+N50*0.07+P50*0.05,IF(D50="PE",H50*0.15+I50*0.23+J50*0.15+K50*0.15+L50*0.08+M50*0.10+O50*0.09+P50*0.05,H50*'Scoring Dictionary'!$E$9+I50*'Scoring Dictionary'!$E$10+J50*'Scoring Dictionary'!$E$11+K50*'Scoring Dictionary'!$E$12+L50*'Scoring Dictionary'!$E$13+M50*'Scoring Dictionary'!$E$14+P50*'Scoring Dictionary'!$E$17)),3))</x:f>
        <x:v>0</x:v>
      </x:c>
      <x:c r="R50" s="12" t="str">
        <x:f>IF(Q50="","",IF(AND(Q50&gt;=0.8,H50&gt;='Scoring Dictionary'!$F$9,I50&gt;='Scoring Dictionary'!$F$10,P50&gt;='Scoring Dictionary'!$F$17),"PASS","FAIL"))</x:f>
      </x:c>
      <x:c r="S50" s="12" t="str"/>
      <x:c r="T50" s="38" t="str"/>
      <x:c r="U50" s="12" t="str"/>
    </x:row>
    <x:row r="51">
      <x:c r="A51" s="12" t="str">
        <x:v>GEN-050</x:v>
      </x:c>
      <x:c r="B51" s="12" t="str">
        <x:v>DualAgent</x:v>
      </x:c>
      <x:c r="C51" s="12" t="str"/>
      <x:c r="D51" s="12" t="str"/>
      <x:c r="E51" s="12" t="str"/>
      <x:c r="F51" s="12" t="str">
        <x:v>GPT 5.5</x:v>
      </x:c>
      <x:c r="G51" s="12" t="str">
        <x:v>GPT 5.4 mini</x:v>
      </x:c>
      <x:c r="H51" s="31" t="str"/>
      <x:c r="I51" s="31" t="str"/>
      <x:c r="J51" s="31" t="str"/>
      <x:c r="K51" s="31" t="str"/>
      <x:c r="L51" s="31" t="str"/>
      <x:c r="M51" s="31" t="str"/>
      <x:c r="N51" s="31" t="str"/>
      <x:c r="O51" s="31" t="str"/>
      <x:c r="P51" s="31" t="str"/>
      <x:c r="Q51" s="39" t="n">
        <x:f>IF(COUNTA(H51:P51)=0,"",ROUND(IF(D51="FE",H51*0.15+I51*0.23+J51*0.15+K51*0.15+L51*0.10+M51*0.10+N51*0.07+P51*0.05,IF(D51="PE",H51*0.15+I51*0.23+J51*0.15+K51*0.15+L51*0.08+M51*0.10+O51*0.09+P51*0.05,H51*'Scoring Dictionary'!$E$9+I51*'Scoring Dictionary'!$E$10+J51*'Scoring Dictionary'!$E$11+K51*'Scoring Dictionary'!$E$12+L51*'Scoring Dictionary'!$E$13+M51*'Scoring Dictionary'!$E$14+P51*'Scoring Dictionary'!$E$17)),3))</x:f>
        <x:v>0</x:v>
      </x:c>
      <x:c r="R51" s="12" t="str">
        <x:f>IF(Q51="","",IF(AND(Q51&gt;=0.8,H51&gt;='Scoring Dictionary'!$F$9,I51&gt;='Scoring Dictionary'!$F$10,P51&gt;='Scoring Dictionary'!$F$17),"PASS","FAIL"))</x:f>
      </x:c>
      <x:c r="S51" s="12" t="str"/>
      <x:c r="T51" s="38" t="str"/>
      <x:c r="U51" s="12" t="str"/>
    </x:row>
    <x:row r="52">
      <x:c r="A52" s="12" t="str">
        <x:v>GEN-051</x:v>
      </x:c>
      <x:c r="B52" s="12" t="str">
        <x:v>DualAgent</x:v>
      </x:c>
      <x:c r="C52" s="12" t="str"/>
      <x:c r="D52" s="12" t="str"/>
      <x:c r="E52" s="12" t="str"/>
      <x:c r="F52" s="12" t="str">
        <x:v>GPT 5.5</x:v>
      </x:c>
      <x:c r="G52" s="12" t="str">
        <x:v>Gemini 2.5</x:v>
      </x:c>
      <x:c r="H52" s="31" t="str"/>
      <x:c r="I52" s="31" t="str"/>
      <x:c r="J52" s="31" t="str"/>
      <x:c r="K52" s="31" t="str"/>
      <x:c r="L52" s="31" t="str"/>
      <x:c r="M52" s="31" t="str"/>
      <x:c r="N52" s="31" t="str"/>
      <x:c r="O52" s="31" t="str"/>
      <x:c r="P52" s="31" t="str"/>
      <x:c r="Q52" s="39" t="n">
        <x:f>IF(COUNTA(H52:P52)=0,"",ROUND(IF(D52="FE",H52*0.15+I52*0.23+J52*0.15+K52*0.15+L52*0.10+M52*0.10+N52*0.07+P52*0.05,IF(D52="PE",H52*0.15+I52*0.23+J52*0.15+K52*0.15+L52*0.08+M52*0.10+O52*0.09+P52*0.05,H52*'Scoring Dictionary'!$E$9+I52*'Scoring Dictionary'!$E$10+J52*'Scoring Dictionary'!$E$11+K52*'Scoring Dictionary'!$E$12+L52*'Scoring Dictionary'!$E$13+M52*'Scoring Dictionary'!$E$14+P52*'Scoring Dictionary'!$E$17)),3))</x:f>
        <x:v>0</x:v>
      </x:c>
      <x:c r="R52" s="12" t="str">
        <x:f>IF(Q52="","",IF(AND(Q52&gt;=0.8,H52&gt;='Scoring Dictionary'!$F$9,I52&gt;='Scoring Dictionary'!$F$10,P52&gt;='Scoring Dictionary'!$F$17),"PASS","FAIL"))</x:f>
      </x:c>
      <x:c r="S52" s="12" t="str"/>
      <x:c r="T52" s="38" t="str"/>
      <x:c r="U52" s="12" t="str"/>
    </x:row>
    <x:row r="53">
      <x:c r="A53" s="12" t="str">
        <x:v>GEN-052</x:v>
      </x:c>
      <x:c r="B53" s="12" t="str">
        <x:v>DualAgent</x:v>
      </x:c>
      <x:c r="C53" s="12" t="str"/>
      <x:c r="D53" s="12" t="str"/>
      <x:c r="E53" s="12" t="str"/>
      <x:c r="F53" s="12" t="str">
        <x:v>GPT 5.5</x:v>
      </x:c>
      <x:c r="G53" s="12" t="str">
        <x:v>Gemini 2.5 Flash</x:v>
      </x:c>
      <x:c r="H53" s="31" t="str"/>
      <x:c r="I53" s="31" t="str"/>
      <x:c r="J53" s="31" t="str"/>
      <x:c r="K53" s="31" t="str"/>
      <x:c r="L53" s="31" t="str"/>
      <x:c r="M53" s="31" t="str"/>
      <x:c r="N53" s="31" t="str"/>
      <x:c r="O53" s="31" t="str"/>
      <x:c r="P53" s="31" t="str"/>
      <x:c r="Q53" s="39" t="n">
        <x:f>IF(COUNTA(H53:P53)=0,"",ROUND(IF(D53="FE",H53*0.15+I53*0.23+J53*0.15+K53*0.15+L53*0.10+M53*0.10+N53*0.07+P53*0.05,IF(D53="PE",H53*0.15+I53*0.23+J53*0.15+K53*0.15+L53*0.08+M53*0.10+O53*0.09+P53*0.05,H53*'Scoring Dictionary'!$E$9+I53*'Scoring Dictionary'!$E$10+J53*'Scoring Dictionary'!$E$11+K53*'Scoring Dictionary'!$E$12+L53*'Scoring Dictionary'!$E$13+M53*'Scoring Dictionary'!$E$14+P53*'Scoring Dictionary'!$E$17)),3))</x:f>
        <x:v>0</x:v>
      </x:c>
      <x:c r="R53" s="12" t="str">
        <x:f>IF(Q53="","",IF(AND(Q53&gt;=0.8,H53&gt;='Scoring Dictionary'!$F$9,I53&gt;='Scoring Dictionary'!$F$10,P53&gt;='Scoring Dictionary'!$F$17),"PASS","FAIL"))</x:f>
      </x:c>
      <x:c r="S53" s="12" t="str"/>
      <x:c r="T53" s="38" t="str"/>
      <x:c r="U53" s="12" t="str"/>
    </x:row>
    <x:row r="54">
      <x:c r="A54" s="12" t="str">
        <x:v>GEN-053</x:v>
      </x:c>
      <x:c r="B54" s="12" t="str">
        <x:v>DualAgent</x:v>
      </x:c>
      <x:c r="C54" s="12" t="str"/>
      <x:c r="D54" s="12" t="str"/>
      <x:c r="E54" s="12" t="str"/>
      <x:c r="F54" s="12" t="str">
        <x:v>GPT 5.5</x:v>
      </x:c>
      <x:c r="G54" s="12" t="str">
        <x:v>Gemini 2.5 Pro</x:v>
      </x:c>
      <x:c r="H54" s="31" t="str"/>
      <x:c r="I54" s="31" t="str"/>
      <x:c r="J54" s="31" t="str"/>
      <x:c r="K54" s="31" t="str"/>
      <x:c r="L54" s="31" t="str"/>
      <x:c r="M54" s="31" t="str"/>
      <x:c r="N54" s="31" t="str"/>
      <x:c r="O54" s="31" t="str"/>
      <x:c r="P54" s="31" t="str"/>
      <x:c r="Q54" s="39" t="n">
        <x:f>IF(COUNTA(H54:P54)=0,"",ROUND(IF(D54="FE",H54*0.15+I54*0.23+J54*0.15+K54*0.15+L54*0.10+M54*0.10+N54*0.07+P54*0.05,IF(D54="PE",H54*0.15+I54*0.23+J54*0.15+K54*0.15+L54*0.08+M54*0.10+O54*0.09+P54*0.05,H54*'Scoring Dictionary'!$E$9+I54*'Scoring Dictionary'!$E$10+J54*'Scoring Dictionary'!$E$11+K54*'Scoring Dictionary'!$E$12+L54*'Scoring Dictionary'!$E$13+M54*'Scoring Dictionary'!$E$14+P54*'Scoring Dictionary'!$E$17)),3))</x:f>
        <x:v>0</x:v>
      </x:c>
      <x:c r="R54" s="12" t="str">
        <x:f>IF(Q54="","",IF(AND(Q54&gt;=0.8,H54&gt;='Scoring Dictionary'!$F$9,I54&gt;='Scoring Dictionary'!$F$10,P54&gt;='Scoring Dictionary'!$F$17),"PASS","FAIL"))</x:f>
      </x:c>
      <x:c r="S54" s="12" t="str"/>
      <x:c r="T54" s="38" t="str"/>
      <x:c r="U54" s="12" t="str"/>
    </x:row>
    <x:row r="55">
      <x:c r="A55" s="12" t="str">
        <x:v>GEN-054</x:v>
      </x:c>
      <x:c r="B55" s="12" t="str">
        <x:v>DualAgent</x:v>
      </x:c>
      <x:c r="C55" s="12" t="str"/>
      <x:c r="D55" s="12" t="str"/>
      <x:c r="E55" s="12" t="str"/>
      <x:c r="F55" s="12" t="str">
        <x:v>GPT 5.5</x:v>
      </x:c>
      <x:c r="G55" s="12" t="str">
        <x:v>Gemini 3.1 Flash Lite</x:v>
      </x:c>
      <x:c r="H55" s="31" t="str"/>
      <x:c r="I55" s="31" t="str"/>
      <x:c r="J55" s="31" t="str"/>
      <x:c r="K55" s="31" t="str"/>
      <x:c r="L55" s="31" t="str"/>
      <x:c r="M55" s="31" t="str"/>
      <x:c r="N55" s="31" t="str"/>
      <x:c r="O55" s="31" t="str"/>
      <x:c r="P55" s="31" t="str"/>
      <x:c r="Q55" s="39" t="n">
        <x:f>IF(COUNTA(H55:P55)=0,"",ROUND(IF(D55="FE",H55*0.15+I55*0.23+J55*0.15+K55*0.15+L55*0.10+M55*0.10+N55*0.07+P55*0.05,IF(D55="PE",H55*0.15+I55*0.23+J55*0.15+K55*0.15+L55*0.08+M55*0.10+O55*0.09+P55*0.05,H55*'Scoring Dictionary'!$E$9+I55*'Scoring Dictionary'!$E$10+J55*'Scoring Dictionary'!$E$11+K55*'Scoring Dictionary'!$E$12+L55*'Scoring Dictionary'!$E$13+M55*'Scoring Dictionary'!$E$14+P55*'Scoring Dictionary'!$E$17)),3))</x:f>
        <x:v>0</x:v>
      </x:c>
      <x:c r="R55" s="12" t="str">
        <x:f>IF(Q55="","",IF(AND(Q55&gt;=0.8,H55&gt;='Scoring Dictionary'!$F$9,I55&gt;='Scoring Dictionary'!$F$10,P55&gt;='Scoring Dictionary'!$F$17),"PASS","FAIL"))</x:f>
      </x:c>
      <x:c r="S55" s="12" t="str"/>
      <x:c r="T55" s="38" t="str"/>
      <x:c r="U55" s="12" t="str"/>
    </x:row>
    <x:row r="56">
      <x:c r="A56" s="12" t="str">
        <x:v>GEN-055</x:v>
      </x:c>
      <x:c r="B56" s="12" t="str">
        <x:v>DualAgent</x:v>
      </x:c>
      <x:c r="C56" s="12" t="str"/>
      <x:c r="D56" s="12" t="str"/>
      <x:c r="E56" s="12" t="str"/>
      <x:c r="F56" s="12" t="str">
        <x:v>GPT 5.5</x:v>
      </x:c>
      <x:c r="G56" s="12" t="str">
        <x:v>Gemini 3.5 Flash</x:v>
      </x:c>
      <x:c r="H56" s="31" t="str"/>
      <x:c r="I56" s="31" t="str"/>
      <x:c r="J56" s="31" t="str"/>
      <x:c r="K56" s="31" t="str"/>
      <x:c r="L56" s="31" t="str"/>
      <x:c r="M56" s="31" t="str"/>
      <x:c r="N56" s="31" t="str"/>
      <x:c r="O56" s="31" t="str"/>
      <x:c r="P56" s="31" t="str"/>
      <x:c r="Q56" s="39" t="n">
        <x:f>IF(COUNTA(H56:P56)=0,"",ROUND(IF(D56="FE",H56*0.15+I56*0.23+J56*0.15+K56*0.15+L56*0.10+M56*0.10+N56*0.07+P56*0.05,IF(D56="PE",H56*0.15+I56*0.23+J56*0.15+K56*0.15+L56*0.08+M56*0.10+O56*0.09+P56*0.05,H56*'Scoring Dictionary'!$E$9+I56*'Scoring Dictionary'!$E$10+J56*'Scoring Dictionary'!$E$11+K56*'Scoring Dictionary'!$E$12+L56*'Scoring Dictionary'!$E$13+M56*'Scoring Dictionary'!$E$14+P56*'Scoring Dictionary'!$E$17)),3))</x:f>
        <x:v>0</x:v>
      </x:c>
      <x:c r="R56" s="12" t="str">
        <x:f>IF(Q56="","",IF(AND(Q56&gt;=0.8,H56&gt;='Scoring Dictionary'!$F$9,I56&gt;='Scoring Dictionary'!$F$10,P56&gt;='Scoring Dictionary'!$F$17),"PASS","FAIL"))</x:f>
      </x:c>
      <x:c r="S56" s="12" t="str"/>
      <x:c r="T56" s="38" t="str"/>
      <x:c r="U56" s="12" t="str"/>
    </x:row>
    <x:row r="57">
      <x:c r="A57" s="12" t="str">
        <x:v>GEN-056</x:v>
      </x:c>
      <x:c r="B57" s="12" t="str">
        <x:v>DualAgent</x:v>
      </x:c>
      <x:c r="C57" s="12" t="str"/>
      <x:c r="D57" s="12" t="str"/>
      <x:c r="E57" s="12" t="str"/>
      <x:c r="F57" s="12" t="str">
        <x:v>Gemini 2.5</x:v>
      </x:c>
      <x:c r="G57" s="12" t="str">
        <x:v>GPT 4o</x:v>
      </x:c>
      <x:c r="H57" s="31" t="str"/>
      <x:c r="I57" s="31" t="str"/>
      <x:c r="J57" s="31" t="str"/>
      <x:c r="K57" s="31" t="str"/>
      <x:c r="L57" s="31" t="str"/>
      <x:c r="M57" s="31" t="str"/>
      <x:c r="N57" s="31" t="str"/>
      <x:c r="O57" s="31" t="str"/>
      <x:c r="P57" s="31" t="str"/>
      <x:c r="Q57" s="39" t="n">
        <x:f>IF(COUNTA(H57:P57)=0,"",ROUND(IF(D57="FE",H57*0.15+I57*0.23+J57*0.15+K57*0.15+L57*0.10+M57*0.10+N57*0.07+P57*0.05,IF(D57="PE",H57*0.15+I57*0.23+J57*0.15+K57*0.15+L57*0.08+M57*0.10+O57*0.09+P57*0.05,H57*'Scoring Dictionary'!$E$9+I57*'Scoring Dictionary'!$E$10+J57*'Scoring Dictionary'!$E$11+K57*'Scoring Dictionary'!$E$12+L57*'Scoring Dictionary'!$E$13+M57*'Scoring Dictionary'!$E$14+P57*'Scoring Dictionary'!$E$17)),3))</x:f>
        <x:v>0</x:v>
      </x:c>
      <x:c r="R57" s="12" t="str">
        <x:f>IF(Q57="","",IF(AND(Q57&gt;=0.8,H57&gt;='Scoring Dictionary'!$F$9,I57&gt;='Scoring Dictionary'!$F$10,P57&gt;='Scoring Dictionary'!$F$17),"PASS","FAIL"))</x:f>
      </x:c>
      <x:c r="S57" s="12" t="str"/>
      <x:c r="T57" s="38" t="str"/>
      <x:c r="U57" s="12" t="str"/>
    </x:row>
    <x:row r="58">
      <x:c r="A58" s="12" t="str">
        <x:v>GEN-057</x:v>
      </x:c>
      <x:c r="B58" s="12" t="str">
        <x:v>DualAgent</x:v>
      </x:c>
      <x:c r="C58" s="12" t="str"/>
      <x:c r="D58" s="12" t="str"/>
      <x:c r="E58" s="12" t="str"/>
      <x:c r="F58" s="12" t="str">
        <x:v>Gemini 2.5</x:v>
      </x:c>
      <x:c r="G58" s="12" t="str">
        <x:v>GPT 4o mini</x:v>
      </x:c>
      <x:c r="H58" s="31" t="str"/>
      <x:c r="I58" s="31" t="str"/>
      <x:c r="J58" s="31" t="str"/>
      <x:c r="K58" s="31" t="str"/>
      <x:c r="L58" s="31" t="str"/>
      <x:c r="M58" s="31" t="str"/>
      <x:c r="N58" s="31" t="str"/>
      <x:c r="O58" s="31" t="str"/>
      <x:c r="P58" s="31" t="str"/>
      <x:c r="Q58" s="39" t="n">
        <x:f>IF(COUNTA(H58:P58)=0,"",ROUND(IF(D58="FE",H58*0.15+I58*0.23+J58*0.15+K58*0.15+L58*0.10+M58*0.10+N58*0.07+P58*0.05,IF(D58="PE",H58*0.15+I58*0.23+J58*0.15+K58*0.15+L58*0.08+M58*0.10+O58*0.09+P58*0.05,H58*'Scoring Dictionary'!$E$9+I58*'Scoring Dictionary'!$E$10+J58*'Scoring Dictionary'!$E$11+K58*'Scoring Dictionary'!$E$12+L58*'Scoring Dictionary'!$E$13+M58*'Scoring Dictionary'!$E$14+P58*'Scoring Dictionary'!$E$17)),3))</x:f>
        <x:v>0</x:v>
      </x:c>
      <x:c r="R58" s="12" t="str">
        <x:f>IF(Q58="","",IF(AND(Q58&gt;=0.8,H58&gt;='Scoring Dictionary'!$F$9,I58&gt;='Scoring Dictionary'!$F$10,P58&gt;='Scoring Dictionary'!$F$17),"PASS","FAIL"))</x:f>
      </x:c>
      <x:c r="S58" s="12" t="str"/>
      <x:c r="T58" s="38" t="str"/>
      <x:c r="U58" s="12" t="str"/>
    </x:row>
    <x:row r="59">
      <x:c r="A59" s="12" t="str">
        <x:v>GEN-058</x:v>
      </x:c>
      <x:c r="B59" s="12" t="str">
        <x:v>DualAgent</x:v>
      </x:c>
      <x:c r="C59" s="12" t="str"/>
      <x:c r="D59" s="12" t="str"/>
      <x:c r="E59" s="12" t="str"/>
      <x:c r="F59" s="12" t="str">
        <x:v>Gemini 2.5</x:v>
      </x:c>
      <x:c r="G59" s="12" t="str">
        <x:v>GPT 5.4</x:v>
      </x:c>
      <x:c r="H59" s="31" t="str"/>
      <x:c r="I59" s="31" t="str"/>
      <x:c r="J59" s="31" t="str"/>
      <x:c r="K59" s="31" t="str"/>
      <x:c r="L59" s="31" t="str"/>
      <x:c r="M59" s="31" t="str"/>
      <x:c r="N59" s="31" t="str"/>
      <x:c r="O59" s="31" t="str"/>
      <x:c r="P59" s="31" t="str"/>
      <x:c r="Q59" s="39" t="n">
        <x:f>IF(COUNTA(H59:P59)=0,"",ROUND(IF(D59="FE",H59*0.15+I59*0.23+J59*0.15+K59*0.15+L59*0.10+M59*0.10+N59*0.07+P59*0.05,IF(D59="PE",H59*0.15+I59*0.23+J59*0.15+K59*0.15+L59*0.08+M59*0.10+O59*0.09+P59*0.05,H59*'Scoring Dictionary'!$E$9+I59*'Scoring Dictionary'!$E$10+J59*'Scoring Dictionary'!$E$11+K59*'Scoring Dictionary'!$E$12+L59*'Scoring Dictionary'!$E$13+M59*'Scoring Dictionary'!$E$14+P59*'Scoring Dictionary'!$E$17)),3))</x:f>
        <x:v>0</x:v>
      </x:c>
      <x:c r="R59" s="12" t="str">
        <x:f>IF(Q59="","",IF(AND(Q59&gt;=0.8,H59&gt;='Scoring Dictionary'!$F$9,I59&gt;='Scoring Dictionary'!$F$10,P59&gt;='Scoring Dictionary'!$F$17),"PASS","FAIL"))</x:f>
      </x:c>
      <x:c r="S59" s="12" t="str"/>
      <x:c r="T59" s="38" t="str"/>
      <x:c r="U59" s="12" t="str"/>
    </x:row>
    <x:row r="60">
      <x:c r="A60" s="12" t="str">
        <x:v>GEN-059</x:v>
      </x:c>
      <x:c r="B60" s="12" t="str">
        <x:v>DualAgent</x:v>
      </x:c>
      <x:c r="C60" s="12" t="str"/>
      <x:c r="D60" s="12" t="str"/>
      <x:c r="E60" s="12" t="str"/>
      <x:c r="F60" s="12" t="str">
        <x:v>Gemini 2.5</x:v>
      </x:c>
      <x:c r="G60" s="12" t="str">
        <x:v>GPT 5.4 mini</x:v>
      </x:c>
      <x:c r="H60" s="31" t="str"/>
      <x:c r="I60" s="31" t="str"/>
      <x:c r="J60" s="31" t="str"/>
      <x:c r="K60" s="31" t="str"/>
      <x:c r="L60" s="31" t="str"/>
      <x:c r="M60" s="31" t="str"/>
      <x:c r="N60" s="31" t="str"/>
      <x:c r="O60" s="31" t="str"/>
      <x:c r="P60" s="31" t="str"/>
      <x:c r="Q60" s="39" t="n">
        <x:f>IF(COUNTA(H60:P60)=0,"",ROUND(IF(D60="FE",H60*0.15+I60*0.23+J60*0.15+K60*0.15+L60*0.10+M60*0.10+N60*0.07+P60*0.05,IF(D60="PE",H60*0.15+I60*0.23+J60*0.15+K60*0.15+L60*0.08+M60*0.10+O60*0.09+P60*0.05,H60*'Scoring Dictionary'!$E$9+I60*'Scoring Dictionary'!$E$10+J60*'Scoring Dictionary'!$E$11+K60*'Scoring Dictionary'!$E$12+L60*'Scoring Dictionary'!$E$13+M60*'Scoring Dictionary'!$E$14+P60*'Scoring Dictionary'!$E$17)),3))</x:f>
        <x:v>0</x:v>
      </x:c>
      <x:c r="R60" s="12" t="str">
        <x:f>IF(Q60="","",IF(AND(Q60&gt;=0.8,H60&gt;='Scoring Dictionary'!$F$9,I60&gt;='Scoring Dictionary'!$F$10,P60&gt;='Scoring Dictionary'!$F$17),"PASS","FAIL"))</x:f>
      </x:c>
      <x:c r="S60" s="12" t="str"/>
      <x:c r="T60" s="38" t="str"/>
      <x:c r="U60" s="12" t="str"/>
    </x:row>
    <x:row r="61">
      <x:c r="A61" s="12" t="str">
        <x:v>GEN-060</x:v>
      </x:c>
      <x:c r="B61" s="12" t="str">
        <x:v>DualAgent</x:v>
      </x:c>
      <x:c r="C61" s="12" t="str"/>
      <x:c r="D61" s="12" t="str"/>
      <x:c r="E61" s="12" t="str"/>
      <x:c r="F61" s="12" t="str">
        <x:v>Gemini 2.5</x:v>
      </x:c>
      <x:c r="G61" s="12" t="str">
        <x:v>GPT 5.5</x:v>
      </x:c>
      <x:c r="H61" s="31" t="str"/>
      <x:c r="I61" s="31" t="str"/>
      <x:c r="J61" s="31" t="str"/>
      <x:c r="K61" s="31" t="str"/>
      <x:c r="L61" s="31" t="str"/>
      <x:c r="M61" s="31" t="str"/>
      <x:c r="N61" s="31" t="str"/>
      <x:c r="O61" s="31" t="str"/>
      <x:c r="P61" s="31" t="str"/>
      <x:c r="Q61" s="39" t="n">
        <x:f>IF(COUNTA(H61:P61)=0,"",ROUND(IF(D61="FE",H61*0.15+I61*0.23+J61*0.15+K61*0.15+L61*0.10+M61*0.10+N61*0.07+P61*0.05,IF(D61="PE",H61*0.15+I61*0.23+J61*0.15+K61*0.15+L61*0.08+M61*0.10+O61*0.09+P61*0.05,H61*'Scoring Dictionary'!$E$9+I61*'Scoring Dictionary'!$E$10+J61*'Scoring Dictionary'!$E$11+K61*'Scoring Dictionary'!$E$12+L61*'Scoring Dictionary'!$E$13+M61*'Scoring Dictionary'!$E$14+P61*'Scoring Dictionary'!$E$17)),3))</x:f>
        <x:v>0</x:v>
      </x:c>
      <x:c r="R61" s="12" t="str">
        <x:f>IF(Q61="","",IF(AND(Q61&gt;=0.8,H61&gt;='Scoring Dictionary'!$F$9,I61&gt;='Scoring Dictionary'!$F$10,P61&gt;='Scoring Dictionary'!$F$17),"PASS","FAIL"))</x:f>
      </x:c>
      <x:c r="S61" s="12" t="str"/>
      <x:c r="T61" s="38" t="str"/>
      <x:c r="U61" s="12" t="str"/>
    </x:row>
    <x:row r="62">
      <x:c r="A62" s="12" t="str">
        <x:v>GEN-061</x:v>
      </x:c>
      <x:c r="B62" s="12" t="str">
        <x:v>DualAgent</x:v>
      </x:c>
      <x:c r="C62" s="12" t="str"/>
      <x:c r="D62" s="12" t="str"/>
      <x:c r="E62" s="12" t="str"/>
      <x:c r="F62" s="12" t="str">
        <x:v>Gemini 2.5</x:v>
      </x:c>
      <x:c r="G62" s="12" t="str">
        <x:v>Gemini 2.5 Flash</x:v>
      </x:c>
      <x:c r="H62" s="31" t="str"/>
      <x:c r="I62" s="31" t="str"/>
      <x:c r="J62" s="31" t="str"/>
      <x:c r="K62" s="31" t="str"/>
      <x:c r="L62" s="31" t="str"/>
      <x:c r="M62" s="31" t="str"/>
      <x:c r="N62" s="31" t="str"/>
      <x:c r="O62" s="31" t="str"/>
      <x:c r="P62" s="31" t="str"/>
      <x:c r="Q62" s="39" t="n">
        <x:f>IF(COUNTA(H62:P62)=0,"",ROUND(IF(D62="FE",H62*0.15+I62*0.23+J62*0.15+K62*0.15+L62*0.10+M62*0.10+N62*0.07+P62*0.05,IF(D62="PE",H62*0.15+I62*0.23+J62*0.15+K62*0.15+L62*0.08+M62*0.10+O62*0.09+P62*0.05,H62*'Scoring Dictionary'!$E$9+I62*'Scoring Dictionary'!$E$10+J62*'Scoring Dictionary'!$E$11+K62*'Scoring Dictionary'!$E$12+L62*'Scoring Dictionary'!$E$13+M62*'Scoring Dictionary'!$E$14+P62*'Scoring Dictionary'!$E$17)),3))</x:f>
        <x:v>0</x:v>
      </x:c>
      <x:c r="R62" s="12" t="str">
        <x:f>IF(Q62="","",IF(AND(Q62&gt;=0.8,H62&gt;='Scoring Dictionary'!$F$9,I62&gt;='Scoring Dictionary'!$F$10,P62&gt;='Scoring Dictionary'!$F$17),"PASS","FAIL"))</x:f>
      </x:c>
      <x:c r="S62" s="12" t="str"/>
      <x:c r="T62" s="38" t="str"/>
      <x:c r="U62" s="12" t="str"/>
    </x:row>
    <x:row r="63">
      <x:c r="A63" s="12" t="str">
        <x:v>GEN-062</x:v>
      </x:c>
      <x:c r="B63" s="12" t="str">
        <x:v>DualAgent</x:v>
      </x:c>
      <x:c r="C63" s="12" t="str"/>
      <x:c r="D63" s="12" t="str"/>
      <x:c r="E63" s="12" t="str"/>
      <x:c r="F63" s="12" t="str">
        <x:v>Gemini 2.5</x:v>
      </x:c>
      <x:c r="G63" s="12" t="str">
        <x:v>Gemini 2.5 Pro</x:v>
      </x:c>
      <x:c r="H63" s="31" t="str"/>
      <x:c r="I63" s="31" t="str"/>
      <x:c r="J63" s="31" t="str"/>
      <x:c r="K63" s="31" t="str"/>
      <x:c r="L63" s="31" t="str"/>
      <x:c r="M63" s="31" t="str"/>
      <x:c r="N63" s="31" t="str"/>
      <x:c r="O63" s="31" t="str"/>
      <x:c r="P63" s="31" t="str"/>
      <x:c r="Q63" s="39" t="n">
        <x:f>IF(COUNTA(H63:P63)=0,"",ROUND(IF(D63="FE",H63*0.15+I63*0.23+J63*0.15+K63*0.15+L63*0.10+M63*0.10+N63*0.07+P63*0.05,IF(D63="PE",H63*0.15+I63*0.23+J63*0.15+K63*0.15+L63*0.08+M63*0.10+O63*0.09+P63*0.05,H63*'Scoring Dictionary'!$E$9+I63*'Scoring Dictionary'!$E$10+J63*'Scoring Dictionary'!$E$11+K63*'Scoring Dictionary'!$E$12+L63*'Scoring Dictionary'!$E$13+M63*'Scoring Dictionary'!$E$14+P63*'Scoring Dictionary'!$E$17)),3))</x:f>
        <x:v>0</x:v>
      </x:c>
      <x:c r="R63" s="12" t="str">
        <x:f>IF(Q63="","",IF(AND(Q63&gt;=0.8,H63&gt;='Scoring Dictionary'!$F$9,I63&gt;='Scoring Dictionary'!$F$10,P63&gt;='Scoring Dictionary'!$F$17),"PASS","FAIL"))</x:f>
      </x:c>
      <x:c r="S63" s="12" t="str"/>
      <x:c r="T63" s="38" t="str"/>
      <x:c r="U63" s="12" t="str"/>
    </x:row>
    <x:row r="64">
      <x:c r="A64" s="12" t="str">
        <x:v>GEN-063</x:v>
      </x:c>
      <x:c r="B64" s="12" t="str">
        <x:v>DualAgent</x:v>
      </x:c>
      <x:c r="C64" s="12" t="str"/>
      <x:c r="D64" s="12" t="str"/>
      <x:c r="E64" s="12" t="str"/>
      <x:c r="F64" s="12" t="str">
        <x:v>Gemini 2.5</x:v>
      </x:c>
      <x:c r="G64" s="12" t="str">
        <x:v>Gemini 3.1 Flash Lite</x:v>
      </x:c>
      <x:c r="H64" s="31" t="str"/>
      <x:c r="I64" s="31" t="str"/>
      <x:c r="J64" s="31" t="str"/>
      <x:c r="K64" s="31" t="str"/>
      <x:c r="L64" s="31" t="str"/>
      <x:c r="M64" s="31" t="str"/>
      <x:c r="N64" s="31" t="str"/>
      <x:c r="O64" s="31" t="str"/>
      <x:c r="P64" s="31" t="str"/>
      <x:c r="Q64" s="39" t="n">
        <x:f>IF(COUNTA(H64:P64)=0,"",ROUND(IF(D64="FE",H64*0.15+I64*0.23+J64*0.15+K64*0.15+L64*0.10+M64*0.10+N64*0.07+P64*0.05,IF(D64="PE",H64*0.15+I64*0.23+J64*0.15+K64*0.15+L64*0.08+M64*0.10+O64*0.09+P64*0.05,H64*'Scoring Dictionary'!$E$9+I64*'Scoring Dictionary'!$E$10+J64*'Scoring Dictionary'!$E$11+K64*'Scoring Dictionary'!$E$12+L64*'Scoring Dictionary'!$E$13+M64*'Scoring Dictionary'!$E$14+P64*'Scoring Dictionary'!$E$17)),3))</x:f>
        <x:v>0</x:v>
      </x:c>
      <x:c r="R64" s="12" t="str">
        <x:f>IF(Q64="","",IF(AND(Q64&gt;=0.8,H64&gt;='Scoring Dictionary'!$F$9,I64&gt;='Scoring Dictionary'!$F$10,P64&gt;='Scoring Dictionary'!$F$17),"PASS","FAIL"))</x:f>
      </x:c>
      <x:c r="S64" s="12" t="str"/>
      <x:c r="T64" s="38" t="str"/>
      <x:c r="U64" s="12" t="str"/>
    </x:row>
    <x:row r="65">
      <x:c r="A65" s="12" t="str">
        <x:v>GEN-064</x:v>
      </x:c>
      <x:c r="B65" s="12" t="str">
        <x:v>DualAgent</x:v>
      </x:c>
      <x:c r="C65" s="12" t="str"/>
      <x:c r="D65" s="12" t="str"/>
      <x:c r="E65" s="12" t="str"/>
      <x:c r="F65" s="12" t="str">
        <x:v>Gemini 2.5</x:v>
      </x:c>
      <x:c r="G65" s="12" t="str">
        <x:v>Gemini 3.5 Flash</x:v>
      </x:c>
      <x:c r="H65" s="31" t="str"/>
      <x:c r="I65" s="31" t="str"/>
      <x:c r="J65" s="31" t="str"/>
      <x:c r="K65" s="31" t="str"/>
      <x:c r="L65" s="31" t="str"/>
      <x:c r="M65" s="31" t="str"/>
      <x:c r="N65" s="31" t="str"/>
      <x:c r="O65" s="31" t="str"/>
      <x:c r="P65" s="31" t="str"/>
      <x:c r="Q65" s="39" t="n">
        <x:f>IF(COUNTA(H65:P65)=0,"",ROUND(IF(D65="FE",H65*0.15+I65*0.23+J65*0.15+K65*0.15+L65*0.10+M65*0.10+N65*0.07+P65*0.05,IF(D65="PE",H65*0.15+I65*0.23+J65*0.15+K65*0.15+L65*0.08+M65*0.10+O65*0.09+P65*0.05,H65*'Scoring Dictionary'!$E$9+I65*'Scoring Dictionary'!$E$10+J65*'Scoring Dictionary'!$E$11+K65*'Scoring Dictionary'!$E$12+L65*'Scoring Dictionary'!$E$13+M65*'Scoring Dictionary'!$E$14+P65*'Scoring Dictionary'!$E$17)),3))</x:f>
        <x:v>0</x:v>
      </x:c>
      <x:c r="R65" s="12" t="str">
        <x:f>IF(Q65="","",IF(AND(Q65&gt;=0.8,H65&gt;='Scoring Dictionary'!$F$9,I65&gt;='Scoring Dictionary'!$F$10,P65&gt;='Scoring Dictionary'!$F$17),"PASS","FAIL"))</x:f>
      </x:c>
      <x:c r="S65" s="12" t="str"/>
      <x:c r="T65" s="38" t="str"/>
      <x:c r="U65" s="12" t="str"/>
    </x:row>
    <x:row r="66">
      <x:c r="A66" s="12" t="str">
        <x:v>GEN-065</x:v>
      </x:c>
      <x:c r="B66" s="12" t="str">
        <x:v>DualAgent</x:v>
      </x:c>
      <x:c r="C66" s="12" t="str"/>
      <x:c r="D66" s="12" t="str"/>
      <x:c r="E66" s="12" t="str"/>
      <x:c r="F66" s="12" t="str">
        <x:v>Gemini 2.5 Flash</x:v>
      </x:c>
      <x:c r="G66" s="12" t="str">
        <x:v>GPT 4o</x:v>
      </x:c>
      <x:c r="H66" s="31" t="str"/>
      <x:c r="I66" s="31" t="str"/>
      <x:c r="J66" s="31" t="str"/>
      <x:c r="K66" s="31" t="str"/>
      <x:c r="L66" s="31" t="str"/>
      <x:c r="M66" s="31" t="str"/>
      <x:c r="N66" s="31" t="str"/>
      <x:c r="O66" s="31" t="str"/>
      <x:c r="P66" s="31" t="str"/>
      <x:c r="Q66" s="39" t="n">
        <x:f>IF(COUNTA(H66:P66)=0,"",ROUND(IF(D66="FE",H66*0.15+I66*0.23+J66*0.15+K66*0.15+L66*0.10+M66*0.10+N66*0.07+P66*0.05,IF(D66="PE",H66*0.15+I66*0.23+J66*0.15+K66*0.15+L66*0.08+M66*0.10+O66*0.09+P66*0.05,H66*'Scoring Dictionary'!$E$9+I66*'Scoring Dictionary'!$E$10+J66*'Scoring Dictionary'!$E$11+K66*'Scoring Dictionary'!$E$12+L66*'Scoring Dictionary'!$E$13+M66*'Scoring Dictionary'!$E$14+P66*'Scoring Dictionary'!$E$17)),3))</x:f>
        <x:v>0</x:v>
      </x:c>
      <x:c r="R66" s="12" t="str">
        <x:f>IF(Q66="","",IF(AND(Q66&gt;=0.8,H66&gt;='Scoring Dictionary'!$F$9,I66&gt;='Scoring Dictionary'!$F$10,P66&gt;='Scoring Dictionary'!$F$17),"PASS","FAIL"))</x:f>
      </x:c>
      <x:c r="S66" s="12" t="str"/>
      <x:c r="T66" s="38" t="str"/>
      <x:c r="U66" s="12" t="str"/>
    </x:row>
    <x:row r="67">
      <x:c r="A67" s="12" t="str">
        <x:v>GEN-066</x:v>
      </x:c>
      <x:c r="B67" s="12" t="str">
        <x:v>DualAgent</x:v>
      </x:c>
      <x:c r="C67" s="12" t="str"/>
      <x:c r="D67" s="12" t="str"/>
      <x:c r="E67" s="12" t="str"/>
      <x:c r="F67" s="12" t="str">
        <x:v>Gemini 2.5 Flash</x:v>
      </x:c>
      <x:c r="G67" s="12" t="str">
        <x:v>GPT 4o mini</x:v>
      </x:c>
      <x:c r="H67" s="31" t="str"/>
      <x:c r="I67" s="31" t="str"/>
      <x:c r="J67" s="31" t="str"/>
      <x:c r="K67" s="31" t="str"/>
      <x:c r="L67" s="31" t="str"/>
      <x:c r="M67" s="31" t="str"/>
      <x:c r="N67" s="31" t="str"/>
      <x:c r="O67" s="31" t="str"/>
      <x:c r="P67" s="31" t="str"/>
      <x:c r="Q67" s="39" t="n">
        <x:f>IF(COUNTA(H67:P67)=0,"",ROUND(IF(D67="FE",H67*0.15+I67*0.23+J67*0.15+K67*0.15+L67*0.10+M67*0.10+N67*0.07+P67*0.05,IF(D67="PE",H67*0.15+I67*0.23+J67*0.15+K67*0.15+L67*0.08+M67*0.10+O67*0.09+P67*0.05,H67*'Scoring Dictionary'!$E$9+I67*'Scoring Dictionary'!$E$10+J67*'Scoring Dictionary'!$E$11+K67*'Scoring Dictionary'!$E$12+L67*'Scoring Dictionary'!$E$13+M67*'Scoring Dictionary'!$E$14+P67*'Scoring Dictionary'!$E$17)),3))</x:f>
        <x:v>0</x:v>
      </x:c>
      <x:c r="R67" s="12" t="str">
        <x:f>IF(Q67="","",IF(AND(Q67&gt;=0.8,H67&gt;='Scoring Dictionary'!$F$9,I67&gt;='Scoring Dictionary'!$F$10,P67&gt;='Scoring Dictionary'!$F$17),"PASS","FAIL"))</x:f>
      </x:c>
      <x:c r="S67" s="12" t="str"/>
      <x:c r="T67" s="38" t="str"/>
      <x:c r="U67" s="12" t="str"/>
    </x:row>
    <x:row r="68">
      <x:c r="A68" s="12" t="str">
        <x:v>GEN-067</x:v>
      </x:c>
      <x:c r="B68" s="12" t="str">
        <x:v>DualAgent</x:v>
      </x:c>
      <x:c r="C68" s="12" t="str"/>
      <x:c r="D68" s="12" t="str"/>
      <x:c r="E68" s="12" t="str"/>
      <x:c r="F68" s="12" t="str">
        <x:v>Gemini 2.5 Flash</x:v>
      </x:c>
      <x:c r="G68" s="12" t="str">
        <x:v>GPT 5.4</x:v>
      </x:c>
      <x:c r="H68" s="31" t="str"/>
      <x:c r="I68" s="31" t="str"/>
      <x:c r="J68" s="31" t="str"/>
      <x:c r="K68" s="31" t="str"/>
      <x:c r="L68" s="31" t="str"/>
      <x:c r="M68" s="31" t="str"/>
      <x:c r="N68" s="31" t="str"/>
      <x:c r="O68" s="31" t="str"/>
      <x:c r="P68" s="31" t="str"/>
      <x:c r="Q68" s="39" t="n">
        <x:f>IF(COUNTA(H68:P68)=0,"",ROUND(IF(D68="FE",H68*0.15+I68*0.23+J68*0.15+K68*0.15+L68*0.10+M68*0.10+N68*0.07+P68*0.05,IF(D68="PE",H68*0.15+I68*0.23+J68*0.15+K68*0.15+L68*0.08+M68*0.10+O68*0.09+P68*0.05,H68*'Scoring Dictionary'!$E$9+I68*'Scoring Dictionary'!$E$10+J68*'Scoring Dictionary'!$E$11+K68*'Scoring Dictionary'!$E$12+L68*'Scoring Dictionary'!$E$13+M68*'Scoring Dictionary'!$E$14+P68*'Scoring Dictionary'!$E$17)),3))</x:f>
        <x:v>0</x:v>
      </x:c>
      <x:c r="R68" s="12" t="str">
        <x:f>IF(Q68="","",IF(AND(Q68&gt;=0.8,H68&gt;='Scoring Dictionary'!$F$9,I68&gt;='Scoring Dictionary'!$F$10,P68&gt;='Scoring Dictionary'!$F$17),"PASS","FAIL"))</x:f>
      </x:c>
      <x:c r="S68" s="12" t="str"/>
      <x:c r="T68" s="38" t="str"/>
      <x:c r="U68" s="12" t="str"/>
    </x:row>
    <x:row r="69">
      <x:c r="A69" s="12" t="str">
        <x:v>GEN-068</x:v>
      </x:c>
      <x:c r="B69" s="12" t="str">
        <x:v>DualAgent</x:v>
      </x:c>
      <x:c r="C69" s="12" t="str"/>
      <x:c r="D69" s="12" t="str"/>
      <x:c r="E69" s="12" t="str"/>
      <x:c r="F69" s="12" t="str">
        <x:v>Gemini 2.5 Flash</x:v>
      </x:c>
      <x:c r="G69" s="12" t="str">
        <x:v>GPT 5.4 mini</x:v>
      </x:c>
      <x:c r="H69" s="31" t="str"/>
      <x:c r="I69" s="31" t="str"/>
      <x:c r="J69" s="31" t="str"/>
      <x:c r="K69" s="31" t="str"/>
      <x:c r="L69" s="31" t="str"/>
      <x:c r="M69" s="31" t="str"/>
      <x:c r="N69" s="31" t="str"/>
      <x:c r="O69" s="31" t="str"/>
      <x:c r="P69" s="31" t="str"/>
      <x:c r="Q69" s="39" t="n">
        <x:f>IF(COUNTA(H69:P69)=0,"",ROUND(IF(D69="FE",H69*0.15+I69*0.23+J69*0.15+K69*0.15+L69*0.10+M69*0.10+N69*0.07+P69*0.05,IF(D69="PE",H69*0.15+I69*0.23+J69*0.15+K69*0.15+L69*0.08+M69*0.10+O69*0.09+P69*0.05,H69*'Scoring Dictionary'!$E$9+I69*'Scoring Dictionary'!$E$10+J69*'Scoring Dictionary'!$E$11+K69*'Scoring Dictionary'!$E$12+L69*'Scoring Dictionary'!$E$13+M69*'Scoring Dictionary'!$E$14+P69*'Scoring Dictionary'!$E$17)),3))</x:f>
        <x:v>0</x:v>
      </x:c>
      <x:c r="R69" s="12" t="str">
        <x:f>IF(Q69="","",IF(AND(Q69&gt;=0.8,H69&gt;='Scoring Dictionary'!$F$9,I69&gt;='Scoring Dictionary'!$F$10,P69&gt;='Scoring Dictionary'!$F$17),"PASS","FAIL"))</x:f>
      </x:c>
      <x:c r="S69" s="12" t="str"/>
      <x:c r="T69" s="38" t="str"/>
      <x:c r="U69" s="12" t="str"/>
    </x:row>
    <x:row r="70">
      <x:c r="A70" s="12" t="str">
        <x:v>GEN-069</x:v>
      </x:c>
      <x:c r="B70" s="12" t="str">
        <x:v>DualAgent</x:v>
      </x:c>
      <x:c r="C70" s="12" t="str"/>
      <x:c r="D70" s="12" t="str"/>
      <x:c r="E70" s="12" t="str"/>
      <x:c r="F70" s="12" t="str">
        <x:v>Gemini 2.5 Flash</x:v>
      </x:c>
      <x:c r="G70" s="12" t="str">
        <x:v>GPT 5.5</x:v>
      </x:c>
      <x:c r="H70" s="31" t="str"/>
      <x:c r="I70" s="31" t="str"/>
      <x:c r="J70" s="31" t="str"/>
      <x:c r="K70" s="31" t="str"/>
      <x:c r="L70" s="31" t="str"/>
      <x:c r="M70" s="31" t="str"/>
      <x:c r="N70" s="31" t="str"/>
      <x:c r="O70" s="31" t="str"/>
      <x:c r="P70" s="31" t="str"/>
      <x:c r="Q70" s="39" t="n">
        <x:f>IF(COUNTA(H70:P70)=0,"",ROUND(IF(D70="FE",H70*0.15+I70*0.23+J70*0.15+K70*0.15+L70*0.10+M70*0.10+N70*0.07+P70*0.05,IF(D70="PE",H70*0.15+I70*0.23+J70*0.15+K70*0.15+L70*0.08+M70*0.10+O70*0.09+P70*0.05,H70*'Scoring Dictionary'!$E$9+I70*'Scoring Dictionary'!$E$10+J70*'Scoring Dictionary'!$E$11+K70*'Scoring Dictionary'!$E$12+L70*'Scoring Dictionary'!$E$13+M70*'Scoring Dictionary'!$E$14+P70*'Scoring Dictionary'!$E$17)),3))</x:f>
        <x:v>0</x:v>
      </x:c>
      <x:c r="R70" s="12" t="str">
        <x:f>IF(Q70="","",IF(AND(Q70&gt;=0.8,H70&gt;='Scoring Dictionary'!$F$9,I70&gt;='Scoring Dictionary'!$F$10,P70&gt;='Scoring Dictionary'!$F$17),"PASS","FAIL"))</x:f>
      </x:c>
      <x:c r="S70" s="12" t="str"/>
      <x:c r="T70" s="38" t="str"/>
      <x:c r="U70" s="12" t="str"/>
    </x:row>
    <x:row r="71">
      <x:c r="A71" s="12" t="str">
        <x:v>GEN-070</x:v>
      </x:c>
      <x:c r="B71" s="12" t="str">
        <x:v>DualAgent</x:v>
      </x:c>
      <x:c r="C71" s="12" t="str"/>
      <x:c r="D71" s="12" t="str"/>
      <x:c r="E71" s="12" t="str"/>
      <x:c r="F71" s="12" t="str">
        <x:v>Gemini 2.5 Flash</x:v>
      </x:c>
      <x:c r="G71" s="12" t="str">
        <x:v>Gemini 2.5</x:v>
      </x:c>
      <x:c r="H71" s="31" t="str"/>
      <x:c r="I71" s="31" t="str"/>
      <x:c r="J71" s="31" t="str"/>
      <x:c r="K71" s="31" t="str"/>
      <x:c r="L71" s="31" t="str"/>
      <x:c r="M71" s="31" t="str"/>
      <x:c r="N71" s="31" t="str"/>
      <x:c r="O71" s="31" t="str"/>
      <x:c r="P71" s="31" t="str"/>
      <x:c r="Q71" s="39" t="n">
        <x:f>IF(COUNTA(H71:P71)=0,"",ROUND(IF(D71="FE",H71*0.15+I71*0.23+J71*0.15+K71*0.15+L71*0.10+M71*0.10+N71*0.07+P71*0.05,IF(D71="PE",H71*0.15+I71*0.23+J71*0.15+K71*0.15+L71*0.08+M71*0.10+O71*0.09+P71*0.05,H71*'Scoring Dictionary'!$E$9+I71*'Scoring Dictionary'!$E$10+J71*'Scoring Dictionary'!$E$11+K71*'Scoring Dictionary'!$E$12+L71*'Scoring Dictionary'!$E$13+M71*'Scoring Dictionary'!$E$14+P71*'Scoring Dictionary'!$E$17)),3))</x:f>
        <x:v>0</x:v>
      </x:c>
      <x:c r="R71" s="12" t="str">
        <x:f>IF(Q71="","",IF(AND(Q71&gt;=0.8,H71&gt;='Scoring Dictionary'!$F$9,I71&gt;='Scoring Dictionary'!$F$10,P71&gt;='Scoring Dictionary'!$F$17),"PASS","FAIL"))</x:f>
      </x:c>
      <x:c r="S71" s="12" t="str"/>
      <x:c r="T71" s="38" t="str"/>
      <x:c r="U71" s="12" t="str"/>
    </x:row>
    <x:row r="72">
      <x:c r="A72" s="12" t="str">
        <x:v>GEN-071</x:v>
      </x:c>
      <x:c r="B72" s="12" t="str">
        <x:v>DualAgent</x:v>
      </x:c>
      <x:c r="C72" s="12" t="str"/>
      <x:c r="D72" s="12" t="str"/>
      <x:c r="E72" s="12" t="str"/>
      <x:c r="F72" s="12" t="str">
        <x:v>Gemini 2.5 Flash</x:v>
      </x:c>
      <x:c r="G72" s="12" t="str">
        <x:v>Gemini 2.5 Pro</x:v>
      </x:c>
      <x:c r="H72" s="31" t="str"/>
      <x:c r="I72" s="31" t="str"/>
      <x:c r="J72" s="31" t="str"/>
      <x:c r="K72" s="31" t="str"/>
      <x:c r="L72" s="31" t="str"/>
      <x:c r="M72" s="31" t="str"/>
      <x:c r="N72" s="31" t="str"/>
      <x:c r="O72" s="31" t="str"/>
      <x:c r="P72" s="31" t="str"/>
      <x:c r="Q72" s="39" t="n">
        <x:f>IF(COUNTA(H72:P72)=0,"",ROUND(IF(D72="FE",H72*0.15+I72*0.23+J72*0.15+K72*0.15+L72*0.10+M72*0.10+N72*0.07+P72*0.05,IF(D72="PE",H72*0.15+I72*0.23+J72*0.15+K72*0.15+L72*0.08+M72*0.10+O72*0.09+P72*0.05,H72*'Scoring Dictionary'!$E$9+I72*'Scoring Dictionary'!$E$10+J72*'Scoring Dictionary'!$E$11+K72*'Scoring Dictionary'!$E$12+L72*'Scoring Dictionary'!$E$13+M72*'Scoring Dictionary'!$E$14+P72*'Scoring Dictionary'!$E$17)),3))</x:f>
        <x:v>0</x:v>
      </x:c>
      <x:c r="R72" s="12" t="str">
        <x:f>IF(Q72="","",IF(AND(Q72&gt;=0.8,H72&gt;='Scoring Dictionary'!$F$9,I72&gt;='Scoring Dictionary'!$F$10,P72&gt;='Scoring Dictionary'!$F$17),"PASS","FAIL"))</x:f>
      </x:c>
      <x:c r="S72" s="12" t="str"/>
      <x:c r="T72" s="38" t="str"/>
      <x:c r="U72" s="12" t="str"/>
    </x:row>
    <x:row r="73">
      <x:c r="A73" s="12" t="str">
        <x:v>GEN-072</x:v>
      </x:c>
      <x:c r="B73" s="12" t="str">
        <x:v>DualAgent</x:v>
      </x:c>
      <x:c r="C73" s="12" t="str"/>
      <x:c r="D73" s="12" t="str"/>
      <x:c r="E73" s="12" t="str"/>
      <x:c r="F73" s="12" t="str">
        <x:v>Gemini 2.5 Flash</x:v>
      </x:c>
      <x:c r="G73" s="12" t="str">
        <x:v>Gemini 3.1 Flash Lite</x:v>
      </x:c>
      <x:c r="H73" s="31" t="str"/>
      <x:c r="I73" s="31" t="str"/>
      <x:c r="J73" s="31" t="str"/>
      <x:c r="K73" s="31" t="str"/>
      <x:c r="L73" s="31" t="str"/>
      <x:c r="M73" s="31" t="str"/>
      <x:c r="N73" s="31" t="str"/>
      <x:c r="O73" s="31" t="str"/>
      <x:c r="P73" s="31" t="str"/>
      <x:c r="Q73" s="39" t="n">
        <x:f>IF(COUNTA(H73:P73)=0,"",ROUND(IF(D73="FE",H73*0.15+I73*0.23+J73*0.15+K73*0.15+L73*0.10+M73*0.10+N73*0.07+P73*0.05,IF(D73="PE",H73*0.15+I73*0.23+J73*0.15+K73*0.15+L73*0.08+M73*0.10+O73*0.09+P73*0.05,H73*'Scoring Dictionary'!$E$9+I73*'Scoring Dictionary'!$E$10+J73*'Scoring Dictionary'!$E$11+K73*'Scoring Dictionary'!$E$12+L73*'Scoring Dictionary'!$E$13+M73*'Scoring Dictionary'!$E$14+P73*'Scoring Dictionary'!$E$17)),3))</x:f>
        <x:v>0</x:v>
      </x:c>
      <x:c r="R73" s="12" t="str">
        <x:f>IF(Q73="","",IF(AND(Q73&gt;=0.8,H73&gt;='Scoring Dictionary'!$F$9,I73&gt;='Scoring Dictionary'!$F$10,P73&gt;='Scoring Dictionary'!$F$17),"PASS","FAIL"))</x:f>
      </x:c>
      <x:c r="S73" s="12" t="str"/>
      <x:c r="T73" s="38" t="str"/>
      <x:c r="U73" s="12" t="str"/>
    </x:row>
    <x:row r="74">
      <x:c r="A74" s="12" t="str">
        <x:v>GEN-073</x:v>
      </x:c>
      <x:c r="B74" s="12" t="str">
        <x:v>DualAgent</x:v>
      </x:c>
      <x:c r="C74" s="12" t="str"/>
      <x:c r="D74" s="12" t="str"/>
      <x:c r="E74" s="12" t="str"/>
      <x:c r="F74" s="12" t="str">
        <x:v>Gemini 2.5 Flash</x:v>
      </x:c>
      <x:c r="G74" s="12" t="str">
        <x:v>Gemini 3.5 Flash</x:v>
      </x:c>
      <x:c r="H74" s="31" t="str"/>
      <x:c r="I74" s="31" t="str"/>
      <x:c r="J74" s="31" t="str"/>
      <x:c r="K74" s="31" t="str"/>
      <x:c r="L74" s="31" t="str"/>
      <x:c r="M74" s="31" t="str"/>
      <x:c r="N74" s="31" t="str"/>
      <x:c r="O74" s="31" t="str"/>
      <x:c r="P74" s="31" t="str"/>
      <x:c r="Q74" s="39" t="n">
        <x:f>IF(COUNTA(H74:P74)=0,"",ROUND(IF(D74="FE",H74*0.15+I74*0.23+J74*0.15+K74*0.15+L74*0.10+M74*0.10+N74*0.07+P74*0.05,IF(D74="PE",H74*0.15+I74*0.23+J74*0.15+K74*0.15+L74*0.08+M74*0.10+O74*0.09+P74*0.05,H74*'Scoring Dictionary'!$E$9+I74*'Scoring Dictionary'!$E$10+J74*'Scoring Dictionary'!$E$11+K74*'Scoring Dictionary'!$E$12+L74*'Scoring Dictionary'!$E$13+M74*'Scoring Dictionary'!$E$14+P74*'Scoring Dictionary'!$E$17)),3))</x:f>
        <x:v>0</x:v>
      </x:c>
      <x:c r="R74" s="12" t="str">
        <x:f>IF(Q74="","",IF(AND(Q74&gt;=0.8,H74&gt;='Scoring Dictionary'!$F$9,I74&gt;='Scoring Dictionary'!$F$10,P74&gt;='Scoring Dictionary'!$F$17),"PASS","FAIL"))</x:f>
      </x:c>
      <x:c r="S74" s="12" t="str"/>
      <x:c r="T74" s="38" t="str"/>
      <x:c r="U74" s="12" t="str"/>
    </x:row>
    <x:row r="75">
      <x:c r="A75" s="12" t="str">
        <x:v>GEN-074</x:v>
      </x:c>
      <x:c r="B75" s="12" t="str">
        <x:v>DualAgent</x:v>
      </x:c>
      <x:c r="C75" s="12" t="str"/>
      <x:c r="D75" s="12" t="str"/>
      <x:c r="E75" s="12" t="str"/>
      <x:c r="F75" s="12" t="str">
        <x:v>Gemini 2.5 Pro</x:v>
      </x:c>
      <x:c r="G75" s="12" t="str">
        <x:v>GPT 4o</x:v>
      </x:c>
      <x:c r="H75" s="31" t="str"/>
      <x:c r="I75" s="31" t="str"/>
      <x:c r="J75" s="31" t="str"/>
      <x:c r="K75" s="31" t="str"/>
      <x:c r="L75" s="31" t="str"/>
      <x:c r="M75" s="31" t="str"/>
      <x:c r="N75" s="31" t="str"/>
      <x:c r="O75" s="31" t="str"/>
      <x:c r="P75" s="31" t="str"/>
      <x:c r="Q75" s="39" t="n">
        <x:f>IF(COUNTA(H75:P75)=0,"",ROUND(IF(D75="FE",H75*0.15+I75*0.23+J75*0.15+K75*0.15+L75*0.10+M75*0.10+N75*0.07+P75*0.05,IF(D75="PE",H75*0.15+I75*0.23+J75*0.15+K75*0.15+L75*0.08+M75*0.10+O75*0.09+P75*0.05,H75*'Scoring Dictionary'!$E$9+I75*'Scoring Dictionary'!$E$10+J75*'Scoring Dictionary'!$E$11+K75*'Scoring Dictionary'!$E$12+L75*'Scoring Dictionary'!$E$13+M75*'Scoring Dictionary'!$E$14+P75*'Scoring Dictionary'!$E$17)),3))</x:f>
        <x:v>0</x:v>
      </x:c>
      <x:c r="R75" s="12" t="str">
        <x:f>IF(Q75="","",IF(AND(Q75&gt;=0.8,H75&gt;='Scoring Dictionary'!$F$9,I75&gt;='Scoring Dictionary'!$F$10,P75&gt;='Scoring Dictionary'!$F$17),"PASS","FAIL"))</x:f>
      </x:c>
      <x:c r="S75" s="12" t="str"/>
      <x:c r="T75" s="38" t="str"/>
      <x:c r="U75" s="12" t="str"/>
    </x:row>
    <x:row r="76">
      <x:c r="A76" s="12" t="str">
        <x:v>GEN-075</x:v>
      </x:c>
      <x:c r="B76" s="12" t="str">
        <x:v>DualAgent</x:v>
      </x:c>
      <x:c r="C76" s="12" t="str"/>
      <x:c r="D76" s="12" t="str"/>
      <x:c r="E76" s="12" t="str"/>
      <x:c r="F76" s="12" t="str">
        <x:v>Gemini 2.5 Pro</x:v>
      </x:c>
      <x:c r="G76" s="12" t="str">
        <x:v>GPT 4o mini</x:v>
      </x:c>
      <x:c r="H76" s="31" t="str"/>
      <x:c r="I76" s="31" t="str"/>
      <x:c r="J76" s="31" t="str"/>
      <x:c r="K76" s="31" t="str"/>
      <x:c r="L76" s="31" t="str"/>
      <x:c r="M76" s="31" t="str"/>
      <x:c r="N76" s="31" t="str"/>
      <x:c r="O76" s="31" t="str"/>
      <x:c r="P76" s="31" t="str"/>
      <x:c r="Q76" s="39" t="n">
        <x:f>IF(COUNTA(H76:P76)=0,"",ROUND(IF(D76="FE",H76*0.15+I76*0.23+J76*0.15+K76*0.15+L76*0.10+M76*0.10+N76*0.07+P76*0.05,IF(D76="PE",H76*0.15+I76*0.23+J76*0.15+K76*0.15+L76*0.08+M76*0.10+O76*0.09+P76*0.05,H76*'Scoring Dictionary'!$E$9+I76*'Scoring Dictionary'!$E$10+J76*'Scoring Dictionary'!$E$11+K76*'Scoring Dictionary'!$E$12+L76*'Scoring Dictionary'!$E$13+M76*'Scoring Dictionary'!$E$14+P76*'Scoring Dictionary'!$E$17)),3))</x:f>
        <x:v>0</x:v>
      </x:c>
      <x:c r="R76" s="12" t="str">
        <x:f>IF(Q76="","",IF(AND(Q76&gt;=0.8,H76&gt;='Scoring Dictionary'!$F$9,I76&gt;='Scoring Dictionary'!$F$10,P76&gt;='Scoring Dictionary'!$F$17),"PASS","FAIL"))</x:f>
      </x:c>
      <x:c r="S76" s="12" t="str"/>
      <x:c r="T76" s="38" t="str"/>
      <x:c r="U76" s="12" t="str"/>
    </x:row>
    <x:row r="77">
      <x:c r="A77" s="12" t="str">
        <x:v>GEN-076</x:v>
      </x:c>
      <x:c r="B77" s="12" t="str">
        <x:v>DualAgent</x:v>
      </x:c>
      <x:c r="C77" s="12" t="str"/>
      <x:c r="D77" s="12" t="str"/>
      <x:c r="E77" s="12" t="str"/>
      <x:c r="F77" s="12" t="str">
        <x:v>Gemini 2.5 Pro</x:v>
      </x:c>
      <x:c r="G77" s="12" t="str">
        <x:v>GPT 5.4</x:v>
      </x:c>
      <x:c r="H77" s="31" t="str"/>
      <x:c r="I77" s="31" t="str"/>
      <x:c r="J77" s="31" t="str"/>
      <x:c r="K77" s="31" t="str"/>
      <x:c r="L77" s="31" t="str"/>
      <x:c r="M77" s="31" t="str"/>
      <x:c r="N77" s="31" t="str"/>
      <x:c r="O77" s="31" t="str"/>
      <x:c r="P77" s="31" t="str"/>
      <x:c r="Q77" s="39" t="n">
        <x:f>IF(COUNTA(H77:P77)=0,"",ROUND(IF(D77="FE",H77*0.15+I77*0.23+J77*0.15+K77*0.15+L77*0.10+M77*0.10+N77*0.07+P77*0.05,IF(D77="PE",H77*0.15+I77*0.23+J77*0.15+K77*0.15+L77*0.08+M77*0.10+O77*0.09+P77*0.05,H77*'Scoring Dictionary'!$E$9+I77*'Scoring Dictionary'!$E$10+J77*'Scoring Dictionary'!$E$11+K77*'Scoring Dictionary'!$E$12+L77*'Scoring Dictionary'!$E$13+M77*'Scoring Dictionary'!$E$14+P77*'Scoring Dictionary'!$E$17)),3))</x:f>
        <x:v>0</x:v>
      </x:c>
      <x:c r="R77" s="12" t="str">
        <x:f>IF(Q77="","",IF(AND(Q77&gt;=0.8,H77&gt;='Scoring Dictionary'!$F$9,I77&gt;='Scoring Dictionary'!$F$10,P77&gt;='Scoring Dictionary'!$F$17),"PASS","FAIL"))</x:f>
      </x:c>
      <x:c r="S77" s="12" t="str"/>
      <x:c r="T77" s="38" t="str"/>
      <x:c r="U77" s="12" t="str"/>
    </x:row>
    <x:row r="78">
      <x:c r="A78" s="12" t="str">
        <x:v>GEN-077</x:v>
      </x:c>
      <x:c r="B78" s="12" t="str">
        <x:v>DualAgent</x:v>
      </x:c>
      <x:c r="C78" s="12" t="str"/>
      <x:c r="D78" s="12" t="str"/>
      <x:c r="E78" s="12" t="str"/>
      <x:c r="F78" s="12" t="str">
        <x:v>Gemini 2.5 Pro</x:v>
      </x:c>
      <x:c r="G78" s="12" t="str">
        <x:v>GPT 5.4 mini</x:v>
      </x:c>
      <x:c r="H78" s="31" t="str"/>
      <x:c r="I78" s="31" t="str"/>
      <x:c r="J78" s="31" t="str"/>
      <x:c r="K78" s="31" t="str"/>
      <x:c r="L78" s="31" t="str"/>
      <x:c r="M78" s="31" t="str"/>
      <x:c r="N78" s="31" t="str"/>
      <x:c r="O78" s="31" t="str"/>
      <x:c r="P78" s="31" t="str"/>
      <x:c r="Q78" s="39" t="n">
        <x:f>IF(COUNTA(H78:P78)=0,"",ROUND(IF(D78="FE",H78*0.15+I78*0.23+J78*0.15+K78*0.15+L78*0.10+M78*0.10+N78*0.07+P78*0.05,IF(D78="PE",H78*0.15+I78*0.23+J78*0.15+K78*0.15+L78*0.08+M78*0.10+O78*0.09+P78*0.05,H78*'Scoring Dictionary'!$E$9+I78*'Scoring Dictionary'!$E$10+J78*'Scoring Dictionary'!$E$11+K78*'Scoring Dictionary'!$E$12+L78*'Scoring Dictionary'!$E$13+M78*'Scoring Dictionary'!$E$14+P78*'Scoring Dictionary'!$E$17)),3))</x:f>
        <x:v>0</x:v>
      </x:c>
      <x:c r="R78" s="12" t="str">
        <x:f>IF(Q78="","",IF(AND(Q78&gt;=0.8,H78&gt;='Scoring Dictionary'!$F$9,I78&gt;='Scoring Dictionary'!$F$10,P78&gt;='Scoring Dictionary'!$F$17),"PASS","FAIL"))</x:f>
      </x:c>
      <x:c r="S78" s="12" t="str"/>
      <x:c r="T78" s="38" t="str"/>
      <x:c r="U78" s="12" t="str"/>
    </x:row>
    <x:row r="79">
      <x:c r="A79" s="12" t="str">
        <x:v>GEN-078</x:v>
      </x:c>
      <x:c r="B79" s="12" t="str">
        <x:v>DualAgent</x:v>
      </x:c>
      <x:c r="C79" s="12" t="str"/>
      <x:c r="D79" s="12" t="str"/>
      <x:c r="E79" s="12" t="str"/>
      <x:c r="F79" s="12" t="str">
        <x:v>Gemini 2.5 Pro</x:v>
      </x:c>
      <x:c r="G79" s="12" t="str">
        <x:v>GPT 5.5</x:v>
      </x:c>
      <x:c r="H79" s="31" t="str"/>
      <x:c r="I79" s="31" t="str"/>
      <x:c r="J79" s="31" t="str"/>
      <x:c r="K79" s="31" t="str"/>
      <x:c r="L79" s="31" t="str"/>
      <x:c r="M79" s="31" t="str"/>
      <x:c r="N79" s="31" t="str"/>
      <x:c r="O79" s="31" t="str"/>
      <x:c r="P79" s="31" t="str"/>
      <x:c r="Q79" s="39" t="n">
        <x:f>IF(COUNTA(H79:P79)=0,"",ROUND(IF(D79="FE",H79*0.15+I79*0.23+J79*0.15+K79*0.15+L79*0.10+M79*0.10+N79*0.07+P79*0.05,IF(D79="PE",H79*0.15+I79*0.23+J79*0.15+K79*0.15+L79*0.08+M79*0.10+O79*0.09+P79*0.05,H79*'Scoring Dictionary'!$E$9+I79*'Scoring Dictionary'!$E$10+J79*'Scoring Dictionary'!$E$11+K79*'Scoring Dictionary'!$E$12+L79*'Scoring Dictionary'!$E$13+M79*'Scoring Dictionary'!$E$14+P79*'Scoring Dictionary'!$E$17)),3))</x:f>
        <x:v>0</x:v>
      </x:c>
      <x:c r="R79" s="12" t="str">
        <x:f>IF(Q79="","",IF(AND(Q79&gt;=0.8,H79&gt;='Scoring Dictionary'!$F$9,I79&gt;='Scoring Dictionary'!$F$10,P79&gt;='Scoring Dictionary'!$F$17),"PASS","FAIL"))</x:f>
      </x:c>
      <x:c r="S79" s="12" t="str"/>
      <x:c r="T79" s="38" t="str"/>
      <x:c r="U79" s="12" t="str"/>
    </x:row>
    <x:row r="80">
      <x:c r="A80" s="12" t="str">
        <x:v>GEN-079</x:v>
      </x:c>
      <x:c r="B80" s="12" t="str">
        <x:v>DualAgent</x:v>
      </x:c>
      <x:c r="C80" s="12" t="str"/>
      <x:c r="D80" s="12" t="str"/>
      <x:c r="E80" s="12" t="str"/>
      <x:c r="F80" s="12" t="str">
        <x:v>Gemini 2.5 Pro</x:v>
      </x:c>
      <x:c r="G80" s="12" t="str">
        <x:v>Gemini 2.5</x:v>
      </x:c>
      <x:c r="H80" s="31" t="str"/>
      <x:c r="I80" s="31" t="str"/>
      <x:c r="J80" s="31" t="str"/>
      <x:c r="K80" s="31" t="str"/>
      <x:c r="L80" s="31" t="str"/>
      <x:c r="M80" s="31" t="str"/>
      <x:c r="N80" s="31" t="str"/>
      <x:c r="O80" s="31" t="str"/>
      <x:c r="P80" s="31" t="str"/>
      <x:c r="Q80" s="39" t="n">
        <x:f>IF(COUNTA(H80:P80)=0,"",ROUND(IF(D80="FE",H80*0.15+I80*0.23+J80*0.15+K80*0.15+L80*0.10+M80*0.10+N80*0.07+P80*0.05,IF(D80="PE",H80*0.15+I80*0.23+J80*0.15+K80*0.15+L80*0.08+M80*0.10+O80*0.09+P80*0.05,H80*'Scoring Dictionary'!$E$9+I80*'Scoring Dictionary'!$E$10+J80*'Scoring Dictionary'!$E$11+K80*'Scoring Dictionary'!$E$12+L80*'Scoring Dictionary'!$E$13+M80*'Scoring Dictionary'!$E$14+P80*'Scoring Dictionary'!$E$17)),3))</x:f>
        <x:v>0</x:v>
      </x:c>
      <x:c r="R80" s="12" t="str">
        <x:f>IF(Q80="","",IF(AND(Q80&gt;=0.8,H80&gt;='Scoring Dictionary'!$F$9,I80&gt;='Scoring Dictionary'!$F$10,P80&gt;='Scoring Dictionary'!$F$17),"PASS","FAIL"))</x:f>
      </x:c>
      <x:c r="S80" s="12" t="str"/>
      <x:c r="T80" s="38" t="str"/>
      <x:c r="U80" s="12" t="str"/>
    </x:row>
    <x:row r="81">
      <x:c r="A81" s="12" t="str">
        <x:v>GEN-080</x:v>
      </x:c>
      <x:c r="B81" s="12" t="str">
        <x:v>DualAgent</x:v>
      </x:c>
      <x:c r="C81" s="12" t="str"/>
      <x:c r="D81" s="12" t="str"/>
      <x:c r="E81" s="12" t="str"/>
      <x:c r="F81" s="12" t="str">
        <x:v>Gemini 2.5 Pro</x:v>
      </x:c>
      <x:c r="G81" s="12" t="str">
        <x:v>Gemini 2.5 Flash</x:v>
      </x:c>
      <x:c r="H81" s="31" t="str"/>
      <x:c r="I81" s="31" t="str"/>
      <x:c r="J81" s="31" t="str"/>
      <x:c r="K81" s="31" t="str"/>
      <x:c r="L81" s="31" t="str"/>
      <x:c r="M81" s="31" t="str"/>
      <x:c r="N81" s="31" t="str"/>
      <x:c r="O81" s="31" t="str"/>
      <x:c r="P81" s="31" t="str"/>
      <x:c r="Q81" s="39" t="n">
        <x:f>IF(COUNTA(H81:P81)=0,"",ROUND(IF(D81="FE",H81*0.15+I81*0.23+J81*0.15+K81*0.15+L81*0.10+M81*0.10+N81*0.07+P81*0.05,IF(D81="PE",H81*0.15+I81*0.23+J81*0.15+K81*0.15+L81*0.08+M81*0.10+O81*0.09+P81*0.05,H81*'Scoring Dictionary'!$E$9+I81*'Scoring Dictionary'!$E$10+J81*'Scoring Dictionary'!$E$11+K81*'Scoring Dictionary'!$E$12+L81*'Scoring Dictionary'!$E$13+M81*'Scoring Dictionary'!$E$14+P81*'Scoring Dictionary'!$E$17)),3))</x:f>
        <x:v>0</x:v>
      </x:c>
      <x:c r="R81" s="12" t="str">
        <x:f>IF(Q81="","",IF(AND(Q81&gt;=0.8,H81&gt;='Scoring Dictionary'!$F$9,I81&gt;='Scoring Dictionary'!$F$10,P81&gt;='Scoring Dictionary'!$F$17),"PASS","FAIL"))</x:f>
      </x:c>
      <x:c r="S81" s="12" t="str"/>
      <x:c r="T81" s="38" t="str"/>
      <x:c r="U81" s="12" t="str"/>
    </x:row>
    <x:row r="82">
      <x:c r="A82" s="12" t="str">
        <x:v>GEN-081</x:v>
      </x:c>
      <x:c r="B82" s="12" t="str">
        <x:v>DualAgent</x:v>
      </x:c>
      <x:c r="C82" s="12" t="str"/>
      <x:c r="D82" s="12" t="str"/>
      <x:c r="E82" s="12" t="str"/>
      <x:c r="F82" s="12" t="str">
        <x:v>Gemini 2.5 Pro</x:v>
      </x:c>
      <x:c r="G82" s="12" t="str">
        <x:v>Gemini 3.1 Flash Lite</x:v>
      </x:c>
      <x:c r="H82" s="31" t="str"/>
      <x:c r="I82" s="31" t="str"/>
      <x:c r="J82" s="31" t="str"/>
      <x:c r="K82" s="31" t="str"/>
      <x:c r="L82" s="31" t="str"/>
      <x:c r="M82" s="31" t="str"/>
      <x:c r="N82" s="31" t="str"/>
      <x:c r="O82" s="31" t="str"/>
      <x:c r="P82" s="31" t="str"/>
      <x:c r="Q82" s="39" t="n">
        <x:f>IF(COUNTA(H82:P82)=0,"",ROUND(IF(D82="FE",H82*0.15+I82*0.23+J82*0.15+K82*0.15+L82*0.10+M82*0.10+N82*0.07+P82*0.05,IF(D82="PE",H82*0.15+I82*0.23+J82*0.15+K82*0.15+L82*0.08+M82*0.10+O82*0.09+P82*0.05,H82*'Scoring Dictionary'!$E$9+I82*'Scoring Dictionary'!$E$10+J82*'Scoring Dictionary'!$E$11+K82*'Scoring Dictionary'!$E$12+L82*'Scoring Dictionary'!$E$13+M82*'Scoring Dictionary'!$E$14+P82*'Scoring Dictionary'!$E$17)),3))</x:f>
        <x:v>0</x:v>
      </x:c>
      <x:c r="R82" s="12" t="str">
        <x:f>IF(Q82="","",IF(AND(Q82&gt;=0.8,H82&gt;='Scoring Dictionary'!$F$9,I82&gt;='Scoring Dictionary'!$F$10,P82&gt;='Scoring Dictionary'!$F$17),"PASS","FAIL"))</x:f>
      </x:c>
      <x:c r="S82" s="12" t="str"/>
      <x:c r="T82" s="38" t="str"/>
      <x:c r="U82" s="12" t="str"/>
    </x:row>
    <x:row r="83">
      <x:c r="A83" s="12" t="str">
        <x:v>GEN-082</x:v>
      </x:c>
      <x:c r="B83" s="12" t="str">
        <x:v>DualAgent</x:v>
      </x:c>
      <x:c r="C83" s="12" t="str"/>
      <x:c r="D83" s="12" t="str"/>
      <x:c r="E83" s="12" t="str"/>
      <x:c r="F83" s="12" t="str">
        <x:v>Gemini 2.5 Pro</x:v>
      </x:c>
      <x:c r="G83" s="12" t="str">
        <x:v>Gemini 3.5 Flash</x:v>
      </x:c>
      <x:c r="H83" s="31" t="str"/>
      <x:c r="I83" s="31" t="str"/>
      <x:c r="J83" s="31" t="str"/>
      <x:c r="K83" s="31" t="str"/>
      <x:c r="L83" s="31" t="str"/>
      <x:c r="M83" s="31" t="str"/>
      <x:c r="N83" s="31" t="str"/>
      <x:c r="O83" s="31" t="str"/>
      <x:c r="P83" s="31" t="str"/>
      <x:c r="Q83" s="39" t="n">
        <x:f>IF(COUNTA(H83:P83)=0,"",ROUND(IF(D83="FE",H83*0.15+I83*0.23+J83*0.15+K83*0.15+L83*0.10+M83*0.10+N83*0.07+P83*0.05,IF(D83="PE",H83*0.15+I83*0.23+J83*0.15+K83*0.15+L83*0.08+M83*0.10+O83*0.09+P83*0.05,H83*'Scoring Dictionary'!$E$9+I83*'Scoring Dictionary'!$E$10+J83*'Scoring Dictionary'!$E$11+K83*'Scoring Dictionary'!$E$12+L83*'Scoring Dictionary'!$E$13+M83*'Scoring Dictionary'!$E$14+P83*'Scoring Dictionary'!$E$17)),3))</x:f>
        <x:v>0</x:v>
      </x:c>
      <x:c r="R83" s="12" t="str">
        <x:f>IF(Q83="","",IF(AND(Q83&gt;=0.8,H83&gt;='Scoring Dictionary'!$F$9,I83&gt;='Scoring Dictionary'!$F$10,P83&gt;='Scoring Dictionary'!$F$17),"PASS","FAIL"))</x:f>
      </x:c>
      <x:c r="S83" s="12" t="str"/>
      <x:c r="T83" s="38" t="str"/>
      <x:c r="U83" s="12" t="str"/>
    </x:row>
    <x:row r="84">
      <x:c r="A84" s="12" t="str">
        <x:v>GEN-083</x:v>
      </x:c>
      <x:c r="B84" s="12" t="str">
        <x:v>DualAgent</x:v>
      </x:c>
      <x:c r="C84" s="12" t="str"/>
      <x:c r="D84" s="12" t="str"/>
      <x:c r="E84" s="12" t="str"/>
      <x:c r="F84" s="12" t="str">
        <x:v>Gemini 3.1 Flash Lite</x:v>
      </x:c>
      <x:c r="G84" s="12" t="str">
        <x:v>GPT 4o</x:v>
      </x:c>
      <x:c r="H84" s="31" t="str"/>
      <x:c r="I84" s="31" t="str"/>
      <x:c r="J84" s="31" t="str"/>
      <x:c r="K84" s="31" t="str"/>
      <x:c r="L84" s="31" t="str"/>
      <x:c r="M84" s="31" t="str"/>
      <x:c r="N84" s="31" t="str"/>
      <x:c r="O84" s="31" t="str"/>
      <x:c r="P84" s="31" t="str"/>
      <x:c r="Q84" s="39" t="n">
        <x:f>IF(COUNTA(H84:P84)=0,"",ROUND(IF(D84="FE",H84*0.15+I84*0.23+J84*0.15+K84*0.15+L84*0.10+M84*0.10+N84*0.07+P84*0.05,IF(D84="PE",H84*0.15+I84*0.23+J84*0.15+K84*0.15+L84*0.08+M84*0.10+O84*0.09+P84*0.05,H84*'Scoring Dictionary'!$E$9+I84*'Scoring Dictionary'!$E$10+J84*'Scoring Dictionary'!$E$11+K84*'Scoring Dictionary'!$E$12+L84*'Scoring Dictionary'!$E$13+M84*'Scoring Dictionary'!$E$14+P84*'Scoring Dictionary'!$E$17)),3))</x:f>
        <x:v>0</x:v>
      </x:c>
      <x:c r="R84" s="12" t="str">
        <x:f>IF(Q84="","",IF(AND(Q84&gt;=0.8,H84&gt;='Scoring Dictionary'!$F$9,I84&gt;='Scoring Dictionary'!$F$10,P84&gt;='Scoring Dictionary'!$F$17),"PASS","FAIL"))</x:f>
      </x:c>
      <x:c r="S84" s="12" t="str"/>
      <x:c r="T84" s="38" t="str"/>
      <x:c r="U84" s="12" t="str"/>
    </x:row>
    <x:row r="85">
      <x:c r="A85" s="12" t="str">
        <x:v>GEN-084</x:v>
      </x:c>
      <x:c r="B85" s="12" t="str">
        <x:v>DualAgent</x:v>
      </x:c>
      <x:c r="C85" s="12" t="str"/>
      <x:c r="D85" s="12" t="str"/>
      <x:c r="E85" s="12" t="str"/>
      <x:c r="F85" s="12" t="str">
        <x:v>Gemini 3.1 Flash Lite</x:v>
      </x:c>
      <x:c r="G85" s="12" t="str">
        <x:v>GPT 4o mini</x:v>
      </x:c>
      <x:c r="H85" s="31" t="str"/>
      <x:c r="I85" s="31" t="str"/>
      <x:c r="J85" s="31" t="str"/>
      <x:c r="K85" s="31" t="str"/>
      <x:c r="L85" s="31" t="str"/>
      <x:c r="M85" s="31" t="str"/>
      <x:c r="N85" s="31" t="str"/>
      <x:c r="O85" s="31" t="str"/>
      <x:c r="P85" s="31" t="str"/>
      <x:c r="Q85" s="39" t="n">
        <x:f>IF(COUNTA(H85:P85)=0,"",ROUND(IF(D85="FE",H85*0.15+I85*0.23+J85*0.15+K85*0.15+L85*0.10+M85*0.10+N85*0.07+P85*0.05,IF(D85="PE",H85*0.15+I85*0.23+J85*0.15+K85*0.15+L85*0.08+M85*0.10+O85*0.09+P85*0.05,H85*'Scoring Dictionary'!$E$9+I85*'Scoring Dictionary'!$E$10+J85*'Scoring Dictionary'!$E$11+K85*'Scoring Dictionary'!$E$12+L85*'Scoring Dictionary'!$E$13+M85*'Scoring Dictionary'!$E$14+P85*'Scoring Dictionary'!$E$17)),3))</x:f>
        <x:v>0</x:v>
      </x:c>
      <x:c r="R85" s="12" t="str">
        <x:f>IF(Q85="","",IF(AND(Q85&gt;=0.8,H85&gt;='Scoring Dictionary'!$F$9,I85&gt;='Scoring Dictionary'!$F$10,P85&gt;='Scoring Dictionary'!$F$17),"PASS","FAIL"))</x:f>
      </x:c>
      <x:c r="S85" s="12" t="str"/>
      <x:c r="T85" s="38" t="str"/>
      <x:c r="U85" s="12" t="str"/>
    </x:row>
    <x:row r="86">
      <x:c r="A86" s="12" t="str">
        <x:v>GEN-085</x:v>
      </x:c>
      <x:c r="B86" s="12" t="str">
        <x:v>DualAgent</x:v>
      </x:c>
      <x:c r="C86" s="12" t="str"/>
      <x:c r="D86" s="12" t="str"/>
      <x:c r="E86" s="12" t="str"/>
      <x:c r="F86" s="12" t="str">
        <x:v>Gemini 3.1 Flash Lite</x:v>
      </x:c>
      <x:c r="G86" s="12" t="str">
        <x:v>GPT 5.4</x:v>
      </x:c>
      <x:c r="H86" s="31" t="str"/>
      <x:c r="I86" s="31" t="str"/>
      <x:c r="J86" s="31" t="str"/>
      <x:c r="K86" s="31" t="str"/>
      <x:c r="L86" s="31" t="str"/>
      <x:c r="M86" s="31" t="str"/>
      <x:c r="N86" s="31" t="str"/>
      <x:c r="O86" s="31" t="str"/>
      <x:c r="P86" s="31" t="str"/>
      <x:c r="Q86" s="39" t="n">
        <x:f>IF(COUNTA(H86:P86)=0,"",ROUND(IF(D86="FE",H86*0.15+I86*0.23+J86*0.15+K86*0.15+L86*0.10+M86*0.10+N86*0.07+P86*0.05,IF(D86="PE",H86*0.15+I86*0.23+J86*0.15+K86*0.15+L86*0.08+M86*0.10+O86*0.09+P86*0.05,H86*'Scoring Dictionary'!$E$9+I86*'Scoring Dictionary'!$E$10+J86*'Scoring Dictionary'!$E$11+K86*'Scoring Dictionary'!$E$12+L86*'Scoring Dictionary'!$E$13+M86*'Scoring Dictionary'!$E$14+P86*'Scoring Dictionary'!$E$17)),3))</x:f>
        <x:v>0</x:v>
      </x:c>
      <x:c r="R86" s="12" t="str">
        <x:f>IF(Q86="","",IF(AND(Q86&gt;=0.8,H86&gt;='Scoring Dictionary'!$F$9,I86&gt;='Scoring Dictionary'!$F$10,P86&gt;='Scoring Dictionary'!$F$17),"PASS","FAIL"))</x:f>
      </x:c>
      <x:c r="S86" s="12" t="str"/>
      <x:c r="T86" s="38" t="str"/>
      <x:c r="U86" s="12" t="str"/>
    </x:row>
    <x:row r="87">
      <x:c r="A87" s="12" t="str">
        <x:v>GEN-086</x:v>
      </x:c>
      <x:c r="B87" s="12" t="str">
        <x:v>DualAgent</x:v>
      </x:c>
      <x:c r="C87" s="12" t="str"/>
      <x:c r="D87" s="12" t="str"/>
      <x:c r="E87" s="12" t="str"/>
      <x:c r="F87" s="12" t="str">
        <x:v>Gemini 3.1 Flash Lite</x:v>
      </x:c>
      <x:c r="G87" s="12" t="str">
        <x:v>GPT 5.4 mini</x:v>
      </x:c>
      <x:c r="H87" s="31" t="str"/>
      <x:c r="I87" s="31" t="str"/>
      <x:c r="J87" s="31" t="str"/>
      <x:c r="K87" s="31" t="str"/>
      <x:c r="L87" s="31" t="str"/>
      <x:c r="M87" s="31" t="str"/>
      <x:c r="N87" s="31" t="str"/>
      <x:c r="O87" s="31" t="str"/>
      <x:c r="P87" s="31" t="str"/>
      <x:c r="Q87" s="39" t="n">
        <x:f>IF(COUNTA(H87:P87)=0,"",ROUND(IF(D87="FE",H87*0.15+I87*0.23+J87*0.15+K87*0.15+L87*0.10+M87*0.10+N87*0.07+P87*0.05,IF(D87="PE",H87*0.15+I87*0.23+J87*0.15+K87*0.15+L87*0.08+M87*0.10+O87*0.09+P87*0.05,H87*'Scoring Dictionary'!$E$9+I87*'Scoring Dictionary'!$E$10+J87*'Scoring Dictionary'!$E$11+K87*'Scoring Dictionary'!$E$12+L87*'Scoring Dictionary'!$E$13+M87*'Scoring Dictionary'!$E$14+P87*'Scoring Dictionary'!$E$17)),3))</x:f>
        <x:v>0</x:v>
      </x:c>
      <x:c r="R87" s="12" t="str">
        <x:f>IF(Q87="","",IF(AND(Q87&gt;=0.8,H87&gt;='Scoring Dictionary'!$F$9,I87&gt;='Scoring Dictionary'!$F$10,P87&gt;='Scoring Dictionary'!$F$17),"PASS","FAIL"))</x:f>
      </x:c>
      <x:c r="S87" s="12" t="str"/>
      <x:c r="T87" s="38" t="str"/>
      <x:c r="U87" s="12" t="str"/>
    </x:row>
    <x:row r="88">
      <x:c r="A88" s="12" t="str">
        <x:v>GEN-087</x:v>
      </x:c>
      <x:c r="B88" s="12" t="str">
        <x:v>DualAgent</x:v>
      </x:c>
      <x:c r="C88" s="12" t="str"/>
      <x:c r="D88" s="12" t="str"/>
      <x:c r="E88" s="12" t="str"/>
      <x:c r="F88" s="12" t="str">
        <x:v>Gemini 3.1 Flash Lite</x:v>
      </x:c>
      <x:c r="G88" s="12" t="str">
        <x:v>GPT 5.5</x:v>
      </x:c>
      <x:c r="H88" s="31" t="str"/>
      <x:c r="I88" s="31" t="str"/>
      <x:c r="J88" s="31" t="str"/>
      <x:c r="K88" s="31" t="str"/>
      <x:c r="L88" s="31" t="str"/>
      <x:c r="M88" s="31" t="str"/>
      <x:c r="N88" s="31" t="str"/>
      <x:c r="O88" s="31" t="str"/>
      <x:c r="P88" s="31" t="str"/>
      <x:c r="Q88" s="39" t="n">
        <x:f>IF(COUNTA(H88:P88)=0,"",ROUND(IF(D88="FE",H88*0.15+I88*0.23+J88*0.15+K88*0.15+L88*0.10+M88*0.10+N88*0.07+P88*0.05,IF(D88="PE",H88*0.15+I88*0.23+J88*0.15+K88*0.15+L88*0.08+M88*0.10+O88*0.09+P88*0.05,H88*'Scoring Dictionary'!$E$9+I88*'Scoring Dictionary'!$E$10+J88*'Scoring Dictionary'!$E$11+K88*'Scoring Dictionary'!$E$12+L88*'Scoring Dictionary'!$E$13+M88*'Scoring Dictionary'!$E$14+P88*'Scoring Dictionary'!$E$17)),3))</x:f>
        <x:v>0</x:v>
      </x:c>
      <x:c r="R88" s="12" t="str">
        <x:f>IF(Q88="","",IF(AND(Q88&gt;=0.8,H88&gt;='Scoring Dictionary'!$F$9,I88&gt;='Scoring Dictionary'!$F$10,P88&gt;='Scoring Dictionary'!$F$17),"PASS","FAIL"))</x:f>
      </x:c>
      <x:c r="S88" s="12" t="str"/>
      <x:c r="T88" s="38" t="str"/>
      <x:c r="U88" s="12" t="str"/>
    </x:row>
    <x:row r="89">
      <x:c r="A89" s="12" t="str">
        <x:v>GEN-088</x:v>
      </x:c>
      <x:c r="B89" s="12" t="str">
        <x:v>DualAgent</x:v>
      </x:c>
      <x:c r="C89" s="12" t="str"/>
      <x:c r="D89" s="12" t="str"/>
      <x:c r="E89" s="12" t="str"/>
      <x:c r="F89" s="12" t="str">
        <x:v>Gemini 3.1 Flash Lite</x:v>
      </x:c>
      <x:c r="G89" s="12" t="str">
        <x:v>Gemini 2.5</x:v>
      </x:c>
      <x:c r="H89" s="31" t="str"/>
      <x:c r="I89" s="31" t="str"/>
      <x:c r="J89" s="31" t="str"/>
      <x:c r="K89" s="31" t="str"/>
      <x:c r="L89" s="31" t="str"/>
      <x:c r="M89" s="31" t="str"/>
      <x:c r="N89" s="31" t="str"/>
      <x:c r="O89" s="31" t="str"/>
      <x:c r="P89" s="31" t="str"/>
      <x:c r="Q89" s="39" t="n">
        <x:f>IF(COUNTA(H89:P89)=0,"",ROUND(IF(D89="FE",H89*0.15+I89*0.23+J89*0.15+K89*0.15+L89*0.10+M89*0.10+N89*0.07+P89*0.05,IF(D89="PE",H89*0.15+I89*0.23+J89*0.15+K89*0.15+L89*0.08+M89*0.10+O89*0.09+P89*0.05,H89*'Scoring Dictionary'!$E$9+I89*'Scoring Dictionary'!$E$10+J89*'Scoring Dictionary'!$E$11+K89*'Scoring Dictionary'!$E$12+L89*'Scoring Dictionary'!$E$13+M89*'Scoring Dictionary'!$E$14+P89*'Scoring Dictionary'!$E$17)),3))</x:f>
        <x:v>0</x:v>
      </x:c>
      <x:c r="R89" s="12" t="str">
        <x:f>IF(Q89="","",IF(AND(Q89&gt;=0.8,H89&gt;='Scoring Dictionary'!$F$9,I89&gt;='Scoring Dictionary'!$F$10,P89&gt;='Scoring Dictionary'!$F$17),"PASS","FAIL"))</x:f>
      </x:c>
      <x:c r="S89" s="12" t="str"/>
      <x:c r="T89" s="38" t="str"/>
      <x:c r="U89" s="12" t="str"/>
    </x:row>
    <x:row r="90">
      <x:c r="A90" s="12" t="str">
        <x:v>GEN-089</x:v>
      </x:c>
      <x:c r="B90" s="12" t="str">
        <x:v>DualAgent</x:v>
      </x:c>
      <x:c r="C90" s="12" t="str"/>
      <x:c r="D90" s="12" t="str"/>
      <x:c r="E90" s="12" t="str"/>
      <x:c r="F90" s="12" t="str">
        <x:v>Gemini 3.1 Flash Lite</x:v>
      </x:c>
      <x:c r="G90" s="12" t="str">
        <x:v>Gemini 2.5 Flash</x:v>
      </x:c>
      <x:c r="H90" s="31" t="str"/>
      <x:c r="I90" s="31" t="str"/>
      <x:c r="J90" s="31" t="str"/>
      <x:c r="K90" s="31" t="str"/>
      <x:c r="L90" s="31" t="str"/>
      <x:c r="M90" s="31" t="str"/>
      <x:c r="N90" s="31" t="str"/>
      <x:c r="O90" s="31" t="str"/>
      <x:c r="P90" s="31" t="str"/>
      <x:c r="Q90" s="39" t="n">
        <x:f>IF(COUNTA(H90:P90)=0,"",ROUND(IF(D90="FE",H90*0.15+I90*0.23+J90*0.15+K90*0.15+L90*0.10+M90*0.10+N90*0.07+P90*0.05,IF(D90="PE",H90*0.15+I90*0.23+J90*0.15+K90*0.15+L90*0.08+M90*0.10+O90*0.09+P90*0.05,H90*'Scoring Dictionary'!$E$9+I90*'Scoring Dictionary'!$E$10+J90*'Scoring Dictionary'!$E$11+K90*'Scoring Dictionary'!$E$12+L90*'Scoring Dictionary'!$E$13+M90*'Scoring Dictionary'!$E$14+P90*'Scoring Dictionary'!$E$17)),3))</x:f>
        <x:v>0</x:v>
      </x:c>
      <x:c r="R90" s="12" t="str">
        <x:f>IF(Q90="","",IF(AND(Q90&gt;=0.8,H90&gt;='Scoring Dictionary'!$F$9,I90&gt;='Scoring Dictionary'!$F$10,P90&gt;='Scoring Dictionary'!$F$17),"PASS","FAIL"))</x:f>
      </x:c>
      <x:c r="S90" s="12" t="str"/>
      <x:c r="T90" s="38" t="str"/>
      <x:c r="U90" s="12" t="str"/>
    </x:row>
    <x:row r="91">
      <x:c r="A91" s="12" t="str">
        <x:v>GEN-090</x:v>
      </x:c>
      <x:c r="B91" s="12" t="str">
        <x:v>DualAgent</x:v>
      </x:c>
      <x:c r="C91" s="12" t="str"/>
      <x:c r="D91" s="12" t="str"/>
      <x:c r="E91" s="12" t="str"/>
      <x:c r="F91" s="12" t="str">
        <x:v>Gemini 3.1 Flash Lite</x:v>
      </x:c>
      <x:c r="G91" s="12" t="str">
        <x:v>Gemini 2.5 Pro</x:v>
      </x:c>
      <x:c r="H91" s="31" t="str"/>
      <x:c r="I91" s="31" t="str"/>
      <x:c r="J91" s="31" t="str"/>
      <x:c r="K91" s="31" t="str"/>
      <x:c r="L91" s="31" t="str"/>
      <x:c r="M91" s="31" t="str"/>
      <x:c r="N91" s="31" t="str"/>
      <x:c r="O91" s="31" t="str"/>
      <x:c r="P91" s="31" t="str"/>
      <x:c r="Q91" s="39" t="n">
        <x:f>IF(COUNTA(H91:P91)=0,"",ROUND(IF(D91="FE",H91*0.15+I91*0.23+J91*0.15+K91*0.15+L91*0.10+M91*0.10+N91*0.07+P91*0.05,IF(D91="PE",H91*0.15+I91*0.23+J91*0.15+K91*0.15+L91*0.08+M91*0.10+O91*0.09+P91*0.05,H91*'Scoring Dictionary'!$E$9+I91*'Scoring Dictionary'!$E$10+J91*'Scoring Dictionary'!$E$11+K91*'Scoring Dictionary'!$E$12+L91*'Scoring Dictionary'!$E$13+M91*'Scoring Dictionary'!$E$14+P91*'Scoring Dictionary'!$E$17)),3))</x:f>
        <x:v>0</x:v>
      </x:c>
      <x:c r="R91" s="12" t="str">
        <x:f>IF(Q91="","",IF(AND(Q91&gt;=0.8,H91&gt;='Scoring Dictionary'!$F$9,I91&gt;='Scoring Dictionary'!$F$10,P91&gt;='Scoring Dictionary'!$F$17),"PASS","FAIL"))</x:f>
      </x:c>
      <x:c r="S91" s="12" t="str"/>
      <x:c r="T91" s="38" t="str"/>
      <x:c r="U91" s="12" t="str"/>
    </x:row>
    <x:row r="92">
      <x:c r="A92" s="12" t="str">
        <x:v>GEN-091</x:v>
      </x:c>
      <x:c r="B92" s="12" t="str">
        <x:v>DualAgent</x:v>
      </x:c>
      <x:c r="C92" s="12" t="str"/>
      <x:c r="D92" s="12" t="str"/>
      <x:c r="E92" s="12" t="str"/>
      <x:c r="F92" s="12" t="str">
        <x:v>Gemini 3.1 Flash Lite</x:v>
      </x:c>
      <x:c r="G92" s="12" t="str">
        <x:v>Gemini 3.5 Flash</x:v>
      </x:c>
      <x:c r="H92" s="31" t="str"/>
      <x:c r="I92" s="31" t="str"/>
      <x:c r="J92" s="31" t="str"/>
      <x:c r="K92" s="31" t="str"/>
      <x:c r="L92" s="31" t="str"/>
      <x:c r="M92" s="31" t="str"/>
      <x:c r="N92" s="31" t="str"/>
      <x:c r="O92" s="31" t="str"/>
      <x:c r="P92" s="31" t="str"/>
      <x:c r="Q92" s="39" t="n">
        <x:f>IF(COUNTA(H92:P92)=0,"",ROUND(IF(D92="FE",H92*0.15+I92*0.23+J92*0.15+K92*0.15+L92*0.10+M92*0.10+N92*0.07+P92*0.05,IF(D92="PE",H92*0.15+I92*0.23+J92*0.15+K92*0.15+L92*0.08+M92*0.10+O92*0.09+P92*0.05,H92*'Scoring Dictionary'!$E$9+I92*'Scoring Dictionary'!$E$10+J92*'Scoring Dictionary'!$E$11+K92*'Scoring Dictionary'!$E$12+L92*'Scoring Dictionary'!$E$13+M92*'Scoring Dictionary'!$E$14+P92*'Scoring Dictionary'!$E$17)),3))</x:f>
        <x:v>0</x:v>
      </x:c>
      <x:c r="R92" s="12" t="str">
        <x:f>IF(Q92="","",IF(AND(Q92&gt;=0.8,H92&gt;='Scoring Dictionary'!$F$9,I92&gt;='Scoring Dictionary'!$F$10,P92&gt;='Scoring Dictionary'!$F$17),"PASS","FAIL"))</x:f>
      </x:c>
      <x:c r="S92" s="12" t="str"/>
      <x:c r="T92" s="38" t="str"/>
      <x:c r="U92" s="12" t="str"/>
    </x:row>
    <x:row r="93">
      <x:c r="A93" s="12" t="str">
        <x:v>GEN-092</x:v>
      </x:c>
      <x:c r="B93" s="12" t="str">
        <x:v>DualAgent</x:v>
      </x:c>
      <x:c r="C93" s="12" t="str"/>
      <x:c r="D93" s="12" t="str"/>
      <x:c r="E93" s="12" t="str"/>
      <x:c r="F93" s="12" t="str">
        <x:v>Gemini 3.5 Flash</x:v>
      </x:c>
      <x:c r="G93" s="12" t="str">
        <x:v>GPT 4o</x:v>
      </x:c>
      <x:c r="H93" s="31" t="str"/>
      <x:c r="I93" s="31" t="str"/>
      <x:c r="J93" s="31" t="str"/>
      <x:c r="K93" s="31" t="str"/>
      <x:c r="L93" s="31" t="str"/>
      <x:c r="M93" s="31" t="str"/>
      <x:c r="N93" s="31" t="str"/>
      <x:c r="O93" s="31" t="str"/>
      <x:c r="P93" s="31" t="str"/>
      <x:c r="Q93" s="39" t="n">
        <x:f>IF(COUNTA(H93:P93)=0,"",ROUND(IF(D93="FE",H93*0.15+I93*0.23+J93*0.15+K93*0.15+L93*0.10+M93*0.10+N93*0.07+P93*0.05,IF(D93="PE",H93*0.15+I93*0.23+J93*0.15+K93*0.15+L93*0.08+M93*0.10+O93*0.09+P93*0.05,H93*'Scoring Dictionary'!$E$9+I93*'Scoring Dictionary'!$E$10+J93*'Scoring Dictionary'!$E$11+K93*'Scoring Dictionary'!$E$12+L93*'Scoring Dictionary'!$E$13+M93*'Scoring Dictionary'!$E$14+P93*'Scoring Dictionary'!$E$17)),3))</x:f>
        <x:v>0</x:v>
      </x:c>
      <x:c r="R93" s="12" t="str">
        <x:f>IF(Q93="","",IF(AND(Q93&gt;=0.8,H93&gt;='Scoring Dictionary'!$F$9,I93&gt;='Scoring Dictionary'!$F$10,P93&gt;='Scoring Dictionary'!$F$17),"PASS","FAIL"))</x:f>
      </x:c>
      <x:c r="S93" s="12" t="str"/>
      <x:c r="T93" s="38" t="str"/>
      <x:c r="U93" s="12" t="str"/>
    </x:row>
    <x:row r="94">
      <x:c r="A94" s="12" t="str">
        <x:v>GEN-093</x:v>
      </x:c>
      <x:c r="B94" s="12" t="str">
        <x:v>DualAgent</x:v>
      </x:c>
      <x:c r="C94" s="12" t="str"/>
      <x:c r="D94" s="12" t="str"/>
      <x:c r="E94" s="12" t="str"/>
      <x:c r="F94" s="12" t="str">
        <x:v>Gemini 3.5 Flash</x:v>
      </x:c>
      <x:c r="G94" s="12" t="str">
        <x:v>GPT 4o mini</x:v>
      </x:c>
      <x:c r="H94" s="31" t="str"/>
      <x:c r="I94" s="31" t="str"/>
      <x:c r="J94" s="31" t="str"/>
      <x:c r="K94" s="31" t="str"/>
      <x:c r="L94" s="31" t="str"/>
      <x:c r="M94" s="31" t="str"/>
      <x:c r="N94" s="31" t="str"/>
      <x:c r="O94" s="31" t="str"/>
      <x:c r="P94" s="31" t="str"/>
      <x:c r="Q94" s="39" t="n">
        <x:f>IF(COUNTA(H94:P94)=0,"",ROUND(IF(D94="FE",H94*0.15+I94*0.23+J94*0.15+K94*0.15+L94*0.10+M94*0.10+N94*0.07+P94*0.05,IF(D94="PE",H94*0.15+I94*0.23+J94*0.15+K94*0.15+L94*0.08+M94*0.10+O94*0.09+P94*0.05,H94*'Scoring Dictionary'!$E$9+I94*'Scoring Dictionary'!$E$10+J94*'Scoring Dictionary'!$E$11+K94*'Scoring Dictionary'!$E$12+L94*'Scoring Dictionary'!$E$13+M94*'Scoring Dictionary'!$E$14+P94*'Scoring Dictionary'!$E$17)),3))</x:f>
        <x:v>0</x:v>
      </x:c>
      <x:c r="R94" s="12" t="str">
        <x:f>IF(Q94="","",IF(AND(Q94&gt;=0.8,H94&gt;='Scoring Dictionary'!$F$9,I94&gt;='Scoring Dictionary'!$F$10,P94&gt;='Scoring Dictionary'!$F$17),"PASS","FAIL"))</x:f>
      </x:c>
      <x:c r="S94" s="12" t="str"/>
      <x:c r="T94" s="38" t="str"/>
      <x:c r="U94" s="12" t="str"/>
    </x:row>
    <x:row r="95">
      <x:c r="A95" s="12" t="str">
        <x:v>GEN-094</x:v>
      </x:c>
      <x:c r="B95" s="12" t="str">
        <x:v>DualAgent</x:v>
      </x:c>
      <x:c r="C95" s="12" t="str"/>
      <x:c r="D95" s="12" t="str"/>
      <x:c r="E95" s="12" t="str"/>
      <x:c r="F95" s="12" t="str">
        <x:v>Gemini 3.5 Flash</x:v>
      </x:c>
      <x:c r="G95" s="12" t="str">
        <x:v>GPT 5.4</x:v>
      </x:c>
      <x:c r="H95" s="31" t="str"/>
      <x:c r="I95" s="31" t="str"/>
      <x:c r="J95" s="31" t="str"/>
      <x:c r="K95" s="31" t="str"/>
      <x:c r="L95" s="31" t="str"/>
      <x:c r="M95" s="31" t="str"/>
      <x:c r="N95" s="31" t="str"/>
      <x:c r="O95" s="31" t="str"/>
      <x:c r="P95" s="31" t="str"/>
      <x:c r="Q95" s="39" t="n">
        <x:f>IF(COUNTA(H95:P95)=0,"",ROUND(IF(D95="FE",H95*0.15+I95*0.23+J95*0.15+K95*0.15+L95*0.10+M95*0.10+N95*0.07+P95*0.05,IF(D95="PE",H95*0.15+I95*0.23+J95*0.15+K95*0.15+L95*0.08+M95*0.10+O95*0.09+P95*0.05,H95*'Scoring Dictionary'!$E$9+I95*'Scoring Dictionary'!$E$10+J95*'Scoring Dictionary'!$E$11+K95*'Scoring Dictionary'!$E$12+L95*'Scoring Dictionary'!$E$13+M95*'Scoring Dictionary'!$E$14+P95*'Scoring Dictionary'!$E$17)),3))</x:f>
        <x:v>0</x:v>
      </x:c>
      <x:c r="R95" s="12" t="str">
        <x:f>IF(Q95="","",IF(AND(Q95&gt;=0.8,H95&gt;='Scoring Dictionary'!$F$9,I95&gt;='Scoring Dictionary'!$F$10,P95&gt;='Scoring Dictionary'!$F$17),"PASS","FAIL"))</x:f>
      </x:c>
      <x:c r="S95" s="12" t="str"/>
      <x:c r="T95" s="38" t="str"/>
      <x:c r="U95" s="12" t="str"/>
    </x:row>
    <x:row r="96">
      <x:c r="A96" s="12" t="str">
        <x:v>GEN-095</x:v>
      </x:c>
      <x:c r="B96" s="12" t="str">
        <x:v>DualAgent</x:v>
      </x:c>
      <x:c r="C96" s="12" t="str"/>
      <x:c r="D96" s="12" t="str"/>
      <x:c r="E96" s="12" t="str"/>
      <x:c r="F96" s="12" t="str">
        <x:v>Gemini 3.5 Flash</x:v>
      </x:c>
      <x:c r="G96" s="12" t="str">
        <x:v>GPT 5.4 mini</x:v>
      </x:c>
      <x:c r="H96" s="31" t="str"/>
      <x:c r="I96" s="31" t="str"/>
      <x:c r="J96" s="31" t="str"/>
      <x:c r="K96" s="31" t="str"/>
      <x:c r="L96" s="31" t="str"/>
      <x:c r="M96" s="31" t="str"/>
      <x:c r="N96" s="31" t="str"/>
      <x:c r="O96" s="31" t="str"/>
      <x:c r="P96" s="31" t="str"/>
      <x:c r="Q96" s="39" t="n">
        <x:f>IF(COUNTA(H96:P96)=0,"",ROUND(IF(D96="FE",H96*0.15+I96*0.23+J96*0.15+K96*0.15+L96*0.10+M96*0.10+N96*0.07+P96*0.05,IF(D96="PE",H96*0.15+I96*0.23+J96*0.15+K96*0.15+L96*0.08+M96*0.10+O96*0.09+P96*0.05,H96*'Scoring Dictionary'!$E$9+I96*'Scoring Dictionary'!$E$10+J96*'Scoring Dictionary'!$E$11+K96*'Scoring Dictionary'!$E$12+L96*'Scoring Dictionary'!$E$13+M96*'Scoring Dictionary'!$E$14+P96*'Scoring Dictionary'!$E$17)),3))</x:f>
        <x:v>0</x:v>
      </x:c>
      <x:c r="R96" s="12" t="str">
        <x:f>IF(Q96="","",IF(AND(Q96&gt;=0.8,H96&gt;='Scoring Dictionary'!$F$9,I96&gt;='Scoring Dictionary'!$F$10,P96&gt;='Scoring Dictionary'!$F$17),"PASS","FAIL"))</x:f>
      </x:c>
      <x:c r="S96" s="12" t="str"/>
      <x:c r="T96" s="38" t="str"/>
      <x:c r="U96" s="12" t="str"/>
    </x:row>
    <x:row r="97">
      <x:c r="A97" s="12" t="str">
        <x:v>GEN-096</x:v>
      </x:c>
      <x:c r="B97" s="12" t="str">
        <x:v>DualAgent</x:v>
      </x:c>
      <x:c r="C97" s="12" t="str"/>
      <x:c r="D97" s="12" t="str"/>
      <x:c r="E97" s="12" t="str"/>
      <x:c r="F97" s="12" t="str">
        <x:v>Gemini 3.5 Flash</x:v>
      </x:c>
      <x:c r="G97" s="12" t="str">
        <x:v>GPT 5.5</x:v>
      </x:c>
      <x:c r="H97" s="31" t="str"/>
      <x:c r="I97" s="31" t="str"/>
      <x:c r="J97" s="31" t="str"/>
      <x:c r="K97" s="31" t="str"/>
      <x:c r="L97" s="31" t="str"/>
      <x:c r="M97" s="31" t="str"/>
      <x:c r="N97" s="31" t="str"/>
      <x:c r="O97" s="31" t="str"/>
      <x:c r="P97" s="31" t="str"/>
      <x:c r="Q97" s="39" t="n">
        <x:f>IF(COUNTA(H97:P97)=0,"",ROUND(IF(D97="FE",H97*0.15+I97*0.23+J97*0.15+K97*0.15+L97*0.10+M97*0.10+N97*0.07+P97*0.05,IF(D97="PE",H97*0.15+I97*0.23+J97*0.15+K97*0.15+L97*0.08+M97*0.10+O97*0.09+P97*0.05,H97*'Scoring Dictionary'!$E$9+I97*'Scoring Dictionary'!$E$10+J97*'Scoring Dictionary'!$E$11+K97*'Scoring Dictionary'!$E$12+L97*'Scoring Dictionary'!$E$13+M97*'Scoring Dictionary'!$E$14+P97*'Scoring Dictionary'!$E$17)),3))</x:f>
        <x:v>0</x:v>
      </x:c>
      <x:c r="R97" s="12" t="str">
        <x:f>IF(Q97="","",IF(AND(Q97&gt;=0.8,H97&gt;='Scoring Dictionary'!$F$9,I97&gt;='Scoring Dictionary'!$F$10,P97&gt;='Scoring Dictionary'!$F$17),"PASS","FAIL"))</x:f>
      </x:c>
      <x:c r="S97" s="12" t="str"/>
      <x:c r="T97" s="38" t="str"/>
      <x:c r="U97" s="12" t="str"/>
    </x:row>
    <x:row r="98">
      <x:c r="A98" s="12" t="str">
        <x:v>GEN-097</x:v>
      </x:c>
      <x:c r="B98" s="12" t="str">
        <x:v>DualAgent</x:v>
      </x:c>
      <x:c r="C98" s="12" t="str"/>
      <x:c r="D98" s="12" t="str"/>
      <x:c r="E98" s="12" t="str"/>
      <x:c r="F98" s="12" t="str">
        <x:v>Gemini 3.5 Flash</x:v>
      </x:c>
      <x:c r="G98" s="12" t="str">
        <x:v>Gemini 2.5</x:v>
      </x:c>
      <x:c r="H98" s="31" t="str"/>
      <x:c r="I98" s="31" t="str"/>
      <x:c r="J98" s="31" t="str"/>
      <x:c r="K98" s="31" t="str"/>
      <x:c r="L98" s="31" t="str"/>
      <x:c r="M98" s="31" t="str"/>
      <x:c r="N98" s="31" t="str"/>
      <x:c r="O98" s="31" t="str"/>
      <x:c r="P98" s="31" t="str"/>
      <x:c r="Q98" s="39" t="n">
        <x:f>IF(COUNTA(H98:P98)=0,"",ROUND(IF(D98="FE",H98*0.15+I98*0.23+J98*0.15+K98*0.15+L98*0.10+M98*0.10+N98*0.07+P98*0.05,IF(D98="PE",H98*0.15+I98*0.23+J98*0.15+K98*0.15+L98*0.08+M98*0.10+O98*0.09+P98*0.05,H98*'Scoring Dictionary'!$E$9+I98*'Scoring Dictionary'!$E$10+J98*'Scoring Dictionary'!$E$11+K98*'Scoring Dictionary'!$E$12+L98*'Scoring Dictionary'!$E$13+M98*'Scoring Dictionary'!$E$14+P98*'Scoring Dictionary'!$E$17)),3))</x:f>
        <x:v>0</x:v>
      </x:c>
      <x:c r="R98" s="12" t="str">
        <x:f>IF(Q98="","",IF(AND(Q98&gt;=0.8,H98&gt;='Scoring Dictionary'!$F$9,I98&gt;='Scoring Dictionary'!$F$10,P98&gt;='Scoring Dictionary'!$F$17),"PASS","FAIL"))</x:f>
      </x:c>
      <x:c r="S98" s="12" t="str"/>
      <x:c r="T98" s="38" t="str"/>
      <x:c r="U98" s="12" t="str"/>
    </x:row>
    <x:row r="99">
      <x:c r="A99" s="12" t="str">
        <x:v>GEN-098</x:v>
      </x:c>
      <x:c r="B99" s="12" t="str">
        <x:v>DualAgent</x:v>
      </x:c>
      <x:c r="C99" s="12" t="str"/>
      <x:c r="D99" s="12" t="str"/>
      <x:c r="E99" s="12" t="str"/>
      <x:c r="F99" s="12" t="str">
        <x:v>Gemini 3.5 Flash</x:v>
      </x:c>
      <x:c r="G99" s="12" t="str">
        <x:v>Gemini 2.5 Flash</x:v>
      </x:c>
      <x:c r="H99" s="31" t="str"/>
      <x:c r="I99" s="31" t="str"/>
      <x:c r="J99" s="31" t="str"/>
      <x:c r="K99" s="31" t="str"/>
      <x:c r="L99" s="31" t="str"/>
      <x:c r="M99" s="31" t="str"/>
      <x:c r="N99" s="31" t="str"/>
      <x:c r="O99" s="31" t="str"/>
      <x:c r="P99" s="31" t="str"/>
      <x:c r="Q99" s="39" t="n">
        <x:f>IF(COUNTA(H99:P99)=0,"",ROUND(IF(D99="FE",H99*0.15+I99*0.23+J99*0.15+K99*0.15+L99*0.10+M99*0.10+N99*0.07+P99*0.05,IF(D99="PE",H99*0.15+I99*0.23+J99*0.15+K99*0.15+L99*0.08+M99*0.10+O99*0.09+P99*0.05,H99*'Scoring Dictionary'!$E$9+I99*'Scoring Dictionary'!$E$10+J99*'Scoring Dictionary'!$E$11+K99*'Scoring Dictionary'!$E$12+L99*'Scoring Dictionary'!$E$13+M99*'Scoring Dictionary'!$E$14+P99*'Scoring Dictionary'!$E$17)),3))</x:f>
        <x:v>0</x:v>
      </x:c>
      <x:c r="R99" s="12" t="str">
        <x:f>IF(Q99="","",IF(AND(Q99&gt;=0.8,H99&gt;='Scoring Dictionary'!$F$9,I99&gt;='Scoring Dictionary'!$F$10,P99&gt;='Scoring Dictionary'!$F$17),"PASS","FAIL"))</x:f>
      </x:c>
      <x:c r="S99" s="12" t="str"/>
      <x:c r="T99" s="38" t="str"/>
      <x:c r="U99" s="12" t="str"/>
    </x:row>
    <x:row r="100">
      <x:c r="A100" s="12" t="str">
        <x:v>GEN-099</x:v>
      </x:c>
      <x:c r="B100" s="12" t="str">
        <x:v>DualAgent</x:v>
      </x:c>
      <x:c r="C100" s="12" t="str"/>
      <x:c r="D100" s="12" t="str"/>
      <x:c r="E100" s="12" t="str"/>
      <x:c r="F100" s="12" t="str">
        <x:v>Gemini 3.5 Flash</x:v>
      </x:c>
      <x:c r="G100" s="12" t="str">
        <x:v>Gemini 2.5 Pro</x:v>
      </x:c>
      <x:c r="H100" s="31" t="str"/>
      <x:c r="I100" s="31" t="str"/>
      <x:c r="J100" s="31" t="str"/>
      <x:c r="K100" s="31" t="str"/>
      <x:c r="L100" s="31" t="str"/>
      <x:c r="M100" s="31" t="str"/>
      <x:c r="N100" s="31" t="str"/>
      <x:c r="O100" s="31" t="str"/>
      <x:c r="P100" s="31" t="str"/>
      <x:c r="Q100" s="39" t="n">
        <x:f>IF(COUNTA(H100:P100)=0,"",ROUND(IF(D100="FE",H100*0.15+I100*0.23+J100*0.15+K100*0.15+L100*0.10+M100*0.10+N100*0.07+P100*0.05,IF(D100="PE",H100*0.15+I100*0.23+J100*0.15+K100*0.15+L100*0.08+M100*0.10+O100*0.09+P100*0.05,H100*'Scoring Dictionary'!$E$9+I100*'Scoring Dictionary'!$E$10+J100*'Scoring Dictionary'!$E$11+K100*'Scoring Dictionary'!$E$12+L100*'Scoring Dictionary'!$E$13+M100*'Scoring Dictionary'!$E$14+P100*'Scoring Dictionary'!$E$17)),3))</x:f>
        <x:v>0</x:v>
      </x:c>
      <x:c r="R100" s="12" t="str">
        <x:f>IF(Q100="","",IF(AND(Q100&gt;=0.8,H100&gt;='Scoring Dictionary'!$F$9,I100&gt;='Scoring Dictionary'!$F$10,P100&gt;='Scoring Dictionary'!$F$17),"PASS","FAIL"))</x:f>
      </x:c>
      <x:c r="S100" s="12" t="str"/>
      <x:c r="T100" s="38" t="str"/>
      <x:c r="U100" s="12" t="str"/>
    </x:row>
    <x:row r="101">
      <x:c r="A101" s="12" t="str">
        <x:v>GEN-100</x:v>
      </x:c>
      <x:c r="B101" s="12" t="str">
        <x:v>DualAgent</x:v>
      </x:c>
      <x:c r="C101" s="12" t="str"/>
      <x:c r="D101" s="12" t="str"/>
      <x:c r="E101" s="12" t="str"/>
      <x:c r="F101" s="12" t="str">
        <x:v>Gemini 3.5 Flash</x:v>
      </x:c>
      <x:c r="G101" s="12" t="str">
        <x:v>Gemini 3.1 Flash Lite</x:v>
      </x:c>
      <x:c r="H101" s="31" t="str"/>
      <x:c r="I101" s="31" t="str"/>
      <x:c r="J101" s="31" t="str"/>
      <x:c r="K101" s="31" t="str"/>
      <x:c r="L101" s="31" t="str"/>
      <x:c r="M101" s="31" t="str"/>
      <x:c r="N101" s="31" t="str"/>
      <x:c r="O101" s="31" t="str"/>
      <x:c r="P101" s="31" t="str"/>
      <x:c r="Q101" s="39" t="n">
        <x:f>IF(COUNTA(H101:P101)=0,"",ROUND(IF(D101="FE",H101*0.15+I101*0.23+J101*0.15+K101*0.15+L101*0.10+M101*0.10+N101*0.07+P101*0.05,IF(D101="PE",H101*0.15+I101*0.23+J101*0.15+K101*0.15+L101*0.08+M101*0.10+O101*0.09+P101*0.05,H101*'Scoring Dictionary'!$E$9+I101*'Scoring Dictionary'!$E$10+J101*'Scoring Dictionary'!$E$11+K101*'Scoring Dictionary'!$E$12+L101*'Scoring Dictionary'!$E$13+M101*'Scoring Dictionary'!$E$14+P101*'Scoring Dictionary'!$E$17)),3))</x:f>
        <x:v>0</x:v>
      </x:c>
      <x:c r="R101" s="12" t="str">
        <x:f>IF(Q101="","",IF(AND(Q101&gt;=0.8,H101&gt;='Scoring Dictionary'!$F$9,I101&gt;='Scoring Dictionary'!$F$10,P101&gt;='Scoring Dictionary'!$F$17),"PASS","FAIL"))</x:f>
      </x:c>
      <x:c r="S101" s="12" t="str"/>
      <x:c r="T101" s="38" t="str"/>
      <x:c r="U101" s="12" t="str"/>
    </x:row>
  </x:sheetData>
  <x:conditionalFormatting sqref="Q2:Q101">
    <x:cfRule type="cellIs" dxfId="4" priority="1" operator="greaterThanOrEqual">
      <x:formula>0.8</x:formula>
    </x:cfRule>
    <x:cfRule type="cellIs" dxfId="5" priority="2" operator="between">
      <x:formula>0.0001</x:formula>
      <x:formula>0.7999</x:formula>
    </x:cfRule>
  </x:conditionalFormatting>
  <x:conditionalFormatting sqref="R2:R101">
    <x:cfRule type="containsText" dxfId="6" priority="3" operator="containsText" text="PASS"/>
    <x:cfRule type="containsText" dxfId="7" priority="4" operator="containsText" text="FAIL"/>
  </x:conditionalFormatting>
  <x:dataValidations count="3">
    <x:dataValidation type="list" sqref="C2:C101">
      <x:formula1>"C,JAVA_OOP,DSA_JAVA,Other"</x:formula1>
    </x:dataValidation>
    <x:dataValidation type="list" sqref="D2:D101">
      <x:formula1>'Lists'!$C$2:$C$3</x:formula1>
    </x:dataValidation>
    <x:dataValidation type="list" sqref="E2:E101">
      <x:formula1>'Lists'!$D$2:$D$4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6" hidden="0" customWidth="1"/>
    <x:col min="18" max="18" width="14" hidden="0" customWidth="1"/>
    <x:col min="19" max="19" width="36" hidden="0" customWidth="1"/>
  </x:cols>
  <x:sheetData>
    <x:row r="1">
      <x:c r="A1" s="51" t="str">
        <x:v>test_id</x:v>
      </x:c>
      <x:c r="B1" s="51" t="str">
        <x:v>submission_case</x:v>
      </x:c>
      <x:c r="C1" s="51" t="str">
        <x:v>subject_code</x:v>
      </x:c>
      <x:c r="D1" s="51" t="str">
        <x:v>language</x:v>
      </x:c>
      <x:c r="E1" s="51" t="str">
        <x:v>mentor_model</x:v>
      </x:c>
      <x:c r="F1" s="51" t="str">
        <x:v>bug_detection_score</x:v>
      </x:c>
      <x:c r="G1" s="51" t="str">
        <x:v>correctness_feedback_score</x:v>
      </x:c>
      <x:c r="H1" s="51" t="str">
        <x:v>code_quality_feedback_score</x:v>
      </x:c>
      <x:c r="I1" s="51" t="str">
        <x:v>actionability_score</x:v>
      </x:c>
      <x:c r="J1" s="51" t="str">
        <x:v>specificity_score</x:v>
      </x:c>
      <x:c r="K1" s="51" t="str">
        <x:v>hallucination_penalty</x:v>
      </x:c>
      <x:c r="L1" s="51" t="str">
        <x:v>grounded_to_code_score</x:v>
      </x:c>
      <x:c r="M1" s="51" t="str">
        <x:v>pedagogical_value_score</x:v>
      </x:c>
      <x:c r="N1" s="51" t="str">
        <x:v>overall_quality_score</x:v>
      </x:c>
      <x:c r="O1" s="51" t="str">
        <x:v>adjusted_quality_score</x:v>
      </x:c>
      <x:c r="P1" s="51" t="str">
        <x:v>pass_fail</x:v>
      </x:c>
      <x:c r="Q1" s="51" t="str">
        <x:v>tester</x:v>
      </x:c>
      <x:c r="R1" s="51" t="str">
        <x:v>test_date</x:v>
      </x:c>
      <x:c r="S1" s="51" t="str">
        <x:v>notes</x:v>
      </x:c>
    </x:row>
    <x:row r="2">
      <x:c r="A2" s="12" t="str">
        <x:v>MENT-001</x:v>
      </x:c>
      <x:c r="B2" s="12" t="str"/>
      <x:c r="C2" s="12" t="str"/>
      <x:c r="D2" s="12" t="str"/>
      <x:c r="E2" s="12" t="str">
        <x:v>GPT 4o</x:v>
      </x:c>
      <x:c r="F2" s="31" t="str"/>
      <x:c r="G2" s="31" t="str"/>
      <x:c r="H2" s="31" t="str"/>
      <x:c r="I2" s="31" t="str"/>
      <x:c r="J2" s="31" t="str"/>
      <x:c r="K2" s="31" t="str"/>
      <x:c r="L2" s="31" t="str"/>
      <x:c r="M2" s="31" t="str"/>
      <x:c r="N2" s="39" t="n">
        <x:f>IF(COUNTA(F2:M2)=0,"",ROUND(F2*'Scoring Dictionary'!$E$18+G2*'Scoring Dictionary'!$E$19+H2*'Scoring Dictionary'!$E$20+I2*'Scoring Dictionary'!$E$21+J2*'Scoring Dictionary'!$E$22+L2*'Scoring Dictionary'!$E$24+M2*'Scoring Dictionary'!$E$25,3))</x:f>
        <x:v>0</x:v>
      </x:c>
      <x:c r="O2" s="39" t="str">
        <x:f>IF(N2="","",ROUND(MAX(0,N2-K2),3))</x:f>
      </x:c>
      <x:c r="P2" s="12" t="str">
        <x:f>IF(O2="","",IF(AND(O2&gt;=0.8,I2&gt;='Scoring Dictionary'!$F$21,L2&gt;='Scoring Dictionary'!$F$24),"PASS","FAIL"))</x:f>
      </x:c>
      <x:c r="Q2" s="12" t="str"/>
      <x:c r="R2" s="38" t="str"/>
      <x:c r="S2" s="12"/>
    </x:row>
    <x:row r="3">
      <x:c r="A3" s="12" t="str">
        <x:v>MENT-002</x:v>
      </x:c>
      <x:c r="B3" s="12" t="str"/>
      <x:c r="C3" s="12" t="str"/>
      <x:c r="D3" s="12" t="str"/>
      <x:c r="E3" s="12" t="str">
        <x:v>GPT 4o mini</x:v>
      </x:c>
      <x:c r="F3" s="31" t="str"/>
      <x:c r="G3" s="31" t="str"/>
      <x:c r="H3" s="31" t="str"/>
      <x:c r="I3" s="31" t="str"/>
      <x:c r="J3" s="31" t="str"/>
      <x:c r="K3" s="31" t="str"/>
      <x:c r="L3" s="31" t="str"/>
      <x:c r="M3" s="31" t="str"/>
      <x:c r="N3" s="39" t="n">
        <x:f>IF(COUNTA(F3:M3)=0,"",ROUND(F3*'Scoring Dictionary'!$E$18+G3*'Scoring Dictionary'!$E$19+H3*'Scoring Dictionary'!$E$20+I3*'Scoring Dictionary'!$E$21+J3*'Scoring Dictionary'!$E$22+L3*'Scoring Dictionary'!$E$24+M3*'Scoring Dictionary'!$E$25,3))</x:f>
        <x:v>0</x:v>
      </x:c>
      <x:c r="O3" s="39" t="str">
        <x:f>IF(N3="","",ROUND(MAX(0,N3-K3),3))</x:f>
      </x:c>
      <x:c r="P3" s="12" t="str">
        <x:f>IF(O3="","",IF(AND(O3&gt;=0.8,I3&gt;='Scoring Dictionary'!$F$21,L3&gt;='Scoring Dictionary'!$F$24),"PASS","FAIL"))</x:f>
      </x:c>
      <x:c r="Q3" s="12" t="str"/>
      <x:c r="R3" s="38" t="str"/>
      <x:c r="S3" s="12"/>
    </x:row>
    <x:row r="4">
      <x:c r="A4" s="12" t="str">
        <x:v>MENT-003</x:v>
      </x:c>
      <x:c r="B4" s="12" t="str"/>
      <x:c r="C4" s="12" t="str"/>
      <x:c r="D4" s="12" t="str"/>
      <x:c r="E4" s="12" t="str">
        <x:v>GPT 5.4</x:v>
      </x:c>
      <x:c r="F4" s="31" t="str"/>
      <x:c r="G4" s="31" t="str"/>
      <x:c r="H4" s="31" t="str"/>
      <x:c r="I4" s="31" t="str"/>
      <x:c r="J4" s="31" t="str"/>
      <x:c r="K4" s="31" t="str"/>
      <x:c r="L4" s="31" t="str"/>
      <x:c r="M4" s="31" t="str"/>
      <x:c r="N4" s="39" t="n">
        <x:f>IF(COUNTA(F4:M4)=0,"",ROUND(F4*'Scoring Dictionary'!$E$18+G4*'Scoring Dictionary'!$E$19+H4*'Scoring Dictionary'!$E$20+I4*'Scoring Dictionary'!$E$21+J4*'Scoring Dictionary'!$E$22+L4*'Scoring Dictionary'!$E$24+M4*'Scoring Dictionary'!$E$25,3))</x:f>
        <x:v>0</x:v>
      </x:c>
      <x:c r="O4" s="39" t="str">
        <x:f>IF(N4="","",ROUND(MAX(0,N4-K4),3))</x:f>
      </x:c>
      <x:c r="P4" s="12" t="str">
        <x:f>IF(O4="","",IF(AND(O4&gt;=0.8,I4&gt;='Scoring Dictionary'!$F$21,L4&gt;='Scoring Dictionary'!$F$24),"PASS","FAIL"))</x:f>
      </x:c>
      <x:c r="Q4" s="12" t="str"/>
      <x:c r="R4" s="38" t="str"/>
      <x:c r="S4" s="12"/>
    </x:row>
    <x:row r="5">
      <x:c r="A5" s="12" t="str">
        <x:v>MENT-004</x:v>
      </x:c>
      <x:c r="B5" s="12" t="str"/>
      <x:c r="C5" s="12" t="str"/>
      <x:c r="D5" s="12" t="str"/>
      <x:c r="E5" s="12" t="str">
        <x:v>GPT 5.4 mini</x:v>
      </x:c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39" t="n">
        <x:f>IF(COUNTA(F5:M5)=0,"",ROUND(F5*'Scoring Dictionary'!$E$18+G5*'Scoring Dictionary'!$E$19+H5*'Scoring Dictionary'!$E$20+I5*'Scoring Dictionary'!$E$21+J5*'Scoring Dictionary'!$E$22+L5*'Scoring Dictionary'!$E$24+M5*'Scoring Dictionary'!$E$25,3))</x:f>
        <x:v>0</x:v>
      </x:c>
      <x:c r="O5" s="39" t="str">
        <x:f>IF(N5="","",ROUND(MAX(0,N5-K5),3))</x:f>
      </x:c>
      <x:c r="P5" s="12" t="str">
        <x:f>IF(O5="","",IF(AND(O5&gt;=0.8,I5&gt;='Scoring Dictionary'!$F$21,L5&gt;='Scoring Dictionary'!$F$24),"PASS","FAIL"))</x:f>
      </x:c>
      <x:c r="Q5" s="12" t="str"/>
      <x:c r="R5" s="38" t="str"/>
      <x:c r="S5" s="12"/>
    </x:row>
    <x:row r="6">
      <x:c r="A6" s="12" t="str">
        <x:v>MENT-005</x:v>
      </x:c>
      <x:c r="B6" s="12" t="str"/>
      <x:c r="C6" s="12" t="str"/>
      <x:c r="D6" s="12" t="str"/>
      <x:c r="E6" s="12" t="str">
        <x:v>GPT 5.5</x:v>
      </x:c>
      <x:c r="F6" s="31" t="str"/>
      <x:c r="G6" s="31" t="str"/>
      <x:c r="H6" s="31" t="str"/>
      <x:c r="I6" s="31" t="str"/>
      <x:c r="J6" s="31" t="str"/>
      <x:c r="K6" s="31" t="str"/>
      <x:c r="L6" s="31" t="str"/>
      <x:c r="M6" s="31" t="str"/>
      <x:c r="N6" s="39" t="n">
        <x:f>IF(COUNTA(F6:M6)=0,"",ROUND(F6*'Scoring Dictionary'!$E$18+G6*'Scoring Dictionary'!$E$19+H6*'Scoring Dictionary'!$E$20+I6*'Scoring Dictionary'!$E$21+J6*'Scoring Dictionary'!$E$22+L6*'Scoring Dictionary'!$E$24+M6*'Scoring Dictionary'!$E$25,3))</x:f>
        <x:v>0</x:v>
      </x:c>
      <x:c r="O6" s="39" t="str">
        <x:f>IF(N6="","",ROUND(MAX(0,N6-K6),3))</x:f>
      </x:c>
      <x:c r="P6" s="12" t="str">
        <x:f>IF(O6="","",IF(AND(O6&gt;=0.8,I6&gt;='Scoring Dictionary'!$F$21,L6&gt;='Scoring Dictionary'!$F$24),"PASS","FAIL"))</x:f>
      </x:c>
      <x:c r="Q6" s="12" t="str"/>
      <x:c r="R6" s="38" t="str"/>
      <x:c r="S6" s="12"/>
    </x:row>
    <x:row r="7">
      <x:c r="A7" s="12" t="str">
        <x:v>MENT-006</x:v>
      </x:c>
      <x:c r="B7" s="12" t="str"/>
      <x:c r="C7" s="12" t="str"/>
      <x:c r="D7" s="12" t="str"/>
      <x:c r="E7" s="12" t="str">
        <x:v>Gemini 2.5</x:v>
      </x:c>
      <x:c r="F7" s="31" t="str"/>
      <x:c r="G7" s="31" t="str"/>
      <x:c r="H7" s="31" t="str"/>
      <x:c r="I7" s="31" t="str"/>
      <x:c r="J7" s="31" t="str"/>
      <x:c r="K7" s="31" t="str"/>
      <x:c r="L7" s="31" t="str"/>
      <x:c r="M7" s="31" t="str"/>
      <x:c r="N7" s="39" t="n">
        <x:f>IF(COUNTA(F7:M7)=0,"",ROUND(F7*'Scoring Dictionary'!$E$18+G7*'Scoring Dictionary'!$E$19+H7*'Scoring Dictionary'!$E$20+I7*'Scoring Dictionary'!$E$21+J7*'Scoring Dictionary'!$E$22+L7*'Scoring Dictionary'!$E$24+M7*'Scoring Dictionary'!$E$25,3))</x:f>
        <x:v>0</x:v>
      </x:c>
      <x:c r="O7" s="39" t="str">
        <x:f>IF(N7="","",ROUND(MAX(0,N7-K7),3))</x:f>
      </x:c>
      <x:c r="P7" s="12" t="str">
        <x:f>IF(O7="","",IF(AND(O7&gt;=0.8,I7&gt;='Scoring Dictionary'!$F$21,L7&gt;='Scoring Dictionary'!$F$24),"PASS","FAIL"))</x:f>
      </x:c>
      <x:c r="Q7" s="12" t="str"/>
      <x:c r="R7" s="38" t="str"/>
      <x:c r="S7" s="12"/>
    </x:row>
    <x:row r="8">
      <x:c r="A8" s="12" t="str">
        <x:v>MENT-007</x:v>
      </x:c>
      <x:c r="B8" s="12" t="str"/>
      <x:c r="C8" s="12" t="str"/>
      <x:c r="D8" s="12" t="str"/>
      <x:c r="E8" s="12" t="str">
        <x:v>Gemini 2.5 Flash</x:v>
      </x:c>
      <x:c r="F8" s="31" t="str"/>
      <x:c r="G8" s="31" t="str"/>
      <x:c r="H8" s="31" t="str"/>
      <x:c r="I8" s="31" t="str"/>
      <x:c r="J8" s="31" t="str"/>
      <x:c r="K8" s="31" t="str"/>
      <x:c r="L8" s="31" t="str"/>
      <x:c r="M8" s="31" t="str"/>
      <x:c r="N8" s="39" t="n">
        <x:f>IF(COUNTA(F8:M8)=0,"",ROUND(F8*'Scoring Dictionary'!$E$18+G8*'Scoring Dictionary'!$E$19+H8*'Scoring Dictionary'!$E$20+I8*'Scoring Dictionary'!$E$21+J8*'Scoring Dictionary'!$E$22+L8*'Scoring Dictionary'!$E$24+M8*'Scoring Dictionary'!$E$25,3))</x:f>
        <x:v>0</x:v>
      </x:c>
      <x:c r="O8" s="39" t="str">
        <x:f>IF(N8="","",ROUND(MAX(0,N8-K8),3))</x:f>
      </x:c>
      <x:c r="P8" s="12" t="str">
        <x:f>IF(O8="","",IF(AND(O8&gt;=0.8,I8&gt;='Scoring Dictionary'!$F$21,L8&gt;='Scoring Dictionary'!$F$24),"PASS","FAIL"))</x:f>
      </x:c>
      <x:c r="Q8" s="12" t="str"/>
      <x:c r="R8" s="38" t="str"/>
      <x:c r="S8" s="12"/>
    </x:row>
    <x:row r="9">
      <x:c r="A9" s="12" t="str">
        <x:v>MENT-008</x:v>
      </x:c>
      <x:c r="B9" s="12" t="str"/>
      <x:c r="C9" s="12" t="str"/>
      <x:c r="D9" s="12" t="str"/>
      <x:c r="E9" s="12" t="str">
        <x:v>Gemini 2.5 Pro</x:v>
      </x:c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  <x:c r="N9" s="39" t="n">
        <x:f>IF(COUNTA(F9:M9)=0,"",ROUND(F9*'Scoring Dictionary'!$E$18+G9*'Scoring Dictionary'!$E$19+H9*'Scoring Dictionary'!$E$20+I9*'Scoring Dictionary'!$E$21+J9*'Scoring Dictionary'!$E$22+L9*'Scoring Dictionary'!$E$24+M9*'Scoring Dictionary'!$E$25,3))</x:f>
        <x:v>0</x:v>
      </x:c>
      <x:c r="O9" s="39" t="str">
        <x:f>IF(N9="","",ROUND(MAX(0,N9-K9),3))</x:f>
      </x:c>
      <x:c r="P9" s="12" t="str">
        <x:f>IF(O9="","",IF(AND(O9&gt;=0.8,I9&gt;='Scoring Dictionary'!$F$21,L9&gt;='Scoring Dictionary'!$F$24),"PASS","FAIL"))</x:f>
      </x:c>
      <x:c r="Q9" s="12" t="str"/>
      <x:c r="R9" s="38" t="str"/>
      <x:c r="S9" s="12"/>
    </x:row>
    <x:row r="10">
      <x:c r="A10" s="12" t="str">
        <x:v>MENT-009</x:v>
      </x:c>
      <x:c r="B10" s="12" t="str"/>
      <x:c r="C10" s="12" t="str"/>
      <x:c r="D10" s="12" t="str"/>
      <x:c r="E10" s="12" t="str">
        <x:v>Gemini 3.1 Flash Lite</x:v>
      </x:c>
      <x:c r="F10" s="31" t="str"/>
      <x:c r="G10" s="31" t="str"/>
      <x:c r="H10" s="31" t="str"/>
      <x:c r="I10" s="31" t="str"/>
      <x:c r="J10" s="31" t="str"/>
      <x:c r="K10" s="31" t="str"/>
      <x:c r="L10" s="31" t="str"/>
      <x:c r="M10" s="31" t="str"/>
      <x:c r="N10" s="39" t="n">
        <x:f>IF(COUNTA(F10:M10)=0,"",ROUND(F10*'Scoring Dictionary'!$E$18+G10*'Scoring Dictionary'!$E$19+H10*'Scoring Dictionary'!$E$20+I10*'Scoring Dictionary'!$E$21+J10*'Scoring Dictionary'!$E$22+L10*'Scoring Dictionary'!$E$24+M10*'Scoring Dictionary'!$E$25,3))</x:f>
        <x:v>0</x:v>
      </x:c>
      <x:c r="O10" s="39" t="str">
        <x:f>IF(N10="","",ROUND(MAX(0,N10-K10),3))</x:f>
      </x:c>
      <x:c r="P10" s="12" t="str">
        <x:f>IF(O10="","",IF(AND(O10&gt;=0.8,I10&gt;='Scoring Dictionary'!$F$21,L10&gt;='Scoring Dictionary'!$F$24),"PASS","FAIL"))</x:f>
      </x:c>
      <x:c r="Q10" s="12" t="str"/>
      <x:c r="R10" s="38" t="str"/>
      <x:c r="S10" s="12"/>
    </x:row>
    <x:row r="11">
      <x:c r="A11" s="12" t="str">
        <x:v>MENT-010</x:v>
      </x:c>
      <x:c r="B11" s="12" t="str"/>
      <x:c r="C11" s="12" t="str"/>
      <x:c r="D11" s="12" t="str"/>
      <x:c r="E11" s="12" t="str">
        <x:v>Gemini 3.5 Flash</x:v>
      </x:c>
      <x:c r="F11" s="31" t="str"/>
      <x:c r="G11" s="31" t="str"/>
      <x:c r="H11" s="31" t="str"/>
      <x:c r="I11" s="31" t="str"/>
      <x:c r="J11" s="31" t="str"/>
      <x:c r="K11" s="31" t="str"/>
      <x:c r="L11" s="31" t="str"/>
      <x:c r="M11" s="31" t="str"/>
      <x:c r="N11" s="39" t="n">
        <x:f>IF(COUNTA(F11:M11)=0,"",ROUND(F11*'Scoring Dictionary'!$E$18+G11*'Scoring Dictionary'!$E$19+H11*'Scoring Dictionary'!$E$20+I11*'Scoring Dictionary'!$E$21+J11*'Scoring Dictionary'!$E$22+L11*'Scoring Dictionary'!$E$24+M11*'Scoring Dictionary'!$E$25,3))</x:f>
        <x:v>0</x:v>
      </x:c>
      <x:c r="O11" s="39" t="str">
        <x:f>IF(N11="","",ROUND(MAX(0,N11-K11),3))</x:f>
      </x:c>
      <x:c r="P11" s="12" t="str">
        <x:f>IF(O11="","",IF(AND(O11&gt;=0.8,I11&gt;='Scoring Dictionary'!$F$21,L11&gt;='Scoring Dictionary'!$F$24),"PASS","FAIL"))</x:f>
      </x:c>
      <x:c r="Q11" s="12" t="str"/>
      <x:c r="R11" s="38" t="str"/>
      <x:c r="S11" s="12"/>
    </x:row>
  </x:sheetData>
  <x:conditionalFormatting sqref="N2:O11">
    <x:cfRule type="cellIs" dxfId="8" priority="1" operator="greaterThanOrEqual">
      <x:formula>0.8</x:formula>
    </x:cfRule>
    <x:cfRule type="cellIs" dxfId="9" priority="2" operator="between">
      <x:formula>0.0001</x:formula>
      <x:formula>0.7999</x:formula>
    </x:cfRule>
  </x:conditionalFormatting>
  <x:conditionalFormatting sqref="P2:P11">
    <x:cfRule type="containsText" dxfId="10" priority="3" operator="containsText" text="PASS"/>
    <x:cfRule type="containsText" dxfId="11" priority="4" operator="containsText" text="FAIL"/>
  </x:conditionalFormatting>
  <x:dataValidations count="3">
    <x:dataValidation type="list" sqref="B2:B11">
      <x:formula1>"Submission 01,Submission 02,Submission 03,Submission 04,Submission 05,Submission 06"</x:formula1>
    </x:dataValidation>
    <x:dataValidation type="list" sqref="C2:C11">
      <x:formula1>"C,JAVA_OOP,DSA_JAVA,Other"</x:formula1>
    </x:dataValidation>
    <x:dataValidation type="list" sqref="D2:D11">
      <x:formula1>"C,Java,Python,C#,Other"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0" hidden="0" customWidth="1"/>
    <x:col min="5" max="5" width="4" hidden="0" customWidth="1"/>
    <x:col min="6" max="6" width="24" hidden="0" customWidth="1"/>
    <x:col min="7" max="7" width="14" hidden="0" customWidth="1"/>
    <x:col min="8" max="8" width="12" hidden="0" customWidth="1"/>
    <x:col min="9" max="9" width="10" hidden="0" customWidth="1"/>
    <x:col min="10" max="10" width="4" hidden="0" customWidth="1"/>
    <x:col min="11" max="11" width="18" hidden="0" customWidth="1"/>
    <x:col min="12" max="12" width="30" hidden="0" customWidth="1"/>
    <x:col min="13" max="13" width="8" hidden="0" customWidth="1"/>
    <x:col min="14" max="14" width="8" hidden="0" customWidth="1"/>
  </x:cols>
  <x:sheetData>
    <x:row r="1">
      <x:c r="A1" s="54" t="str">
        <x:v>AI Quality Comparison Summary</x:v>
      </x:c>
    </x:row>
    <x:row r="3">
      <x:c r="A3" s="10" t="str">
        <x:v>Extraction Model</x:v>
      </x:c>
      <x:c r="B3" s="10" t="str">
        <x:v>Avg Score</x:v>
      </x:c>
      <x:c r="C3" s="10" t="str">
        <x:v>Pass Count</x:v>
      </x:c>
      <x:c r="D3" s="10" t="str">
        <x:v>Cases</x:v>
      </x:c>
      <x:c r="F3" s="60" t="str">
        <x:v>Tagging Model</x:v>
      </x:c>
      <x:c r="G3" s="60" t="str">
        <x:v>Avg Score</x:v>
      </x:c>
      <x:c r="H3" s="60" t="str">
        <x:v>Pass Count</x:v>
      </x:c>
      <x:c r="I3" s="60" t="str">
        <x:v>Cases</x:v>
      </x:c>
      <x:c r="K3" s="18" t="str">
        <x:v>Control</x:v>
      </x:c>
      <x:c r="L3" s="18" t="str">
        <x:v>Value</x:v>
      </x:c>
      <x:c r="M3" s="18" t="str"/>
      <x:c r="N3" s="18" t="str"/>
    </x:row>
    <x:row r="4">
      <x:c r="A4" s="12" t="str">
        <x:v>GPT 4o</x:v>
      </x:c>
      <x:c r="B4" s="39" t="str">
        <x:f>IFERROR(ROUND(AVERAGEIFS('Extraction Review Embedding'!$N$2:$N$81,'Extraction Review Embedding'!$D$2:$D$81,A4,'Extraction Review Embedding'!$N$2:$N$81,"&gt;0"),3),"")</x:f>
      </x:c>
      <x:c r="C4" s="12" t="n">
        <x:f>COUNTIFS('Extraction Review Embedding'!$D$2:$D$81,A4,'Extraction Review Embedding'!$O$2:$O$81,"PASS")</x:f>
        <x:v>0</x:v>
      </x:c>
      <x:c r="D4" s="12" t="n">
        <x:f>COUNTIF('Extraction Review Embedding'!$D$2:$D$81,A4)</x:f>
        <x:v>8</x:v>
      </x:c>
      <x:c r="F4" s="12" t="str">
        <x:v>GPT 4o</x:v>
      </x:c>
      <x:c r="G4" s="39" t="str">
        <x:f>IFERROR(ROUND(AVERAGEIFS('Extraction Review Embedding'!$N$2:$N$81,'Extraction Review Embedding'!$E$2:$E$81,F4,'Extraction Review Embedding'!$N$2:$N$81,"&gt;0"),3),"")</x:f>
      </x:c>
      <x:c r="H4" s="12" t="n">
        <x:f>COUNTIFS('Extraction Review Embedding'!$E$2:$E$81,F4,'Extraction Review Embedding'!$O$2:$O$81,"PASS")</x:f>
        <x:v>0</x:v>
      </x:c>
      <x:c r="I4" s="12" t="n">
        <x:f>COUNTIF('Extraction Review Embedding'!$E$2:$E$81,F4)</x:f>
        <x:v>10</x:v>
      </x:c>
      <x:c r="K4" s="12" t="str">
        <x:v>Total Extraction Cases</x:v>
      </x:c>
      <x:c r="L4" s="12" t="n">
        <x:v>80</x:v>
      </x:c>
      <x:c r="M4" s="12" t="str"/>
      <x:c r="N4" s="12" t="str"/>
    </x:row>
    <x:row r="5">
      <x:c r="A5" s="12" t="str">
        <x:v>GPT 4o mini</x:v>
      </x:c>
      <x:c r="B5" s="39" t="str">
        <x:f>IFERROR(ROUND(AVERAGEIFS('Extraction Review Embedding'!$N$2:$N$81,'Extraction Review Embedding'!$D$2:$D$81,A5,'Extraction Review Embedding'!$N$2:$N$81,"&gt;0"),3),"")</x:f>
      </x:c>
      <x:c r="C5" s="12" t="n">
        <x:f>COUNTIFS('Extraction Review Embedding'!$D$2:$D$81,A5,'Extraction Review Embedding'!$O$2:$O$81,"PASS")</x:f>
        <x:v>0</x:v>
      </x:c>
      <x:c r="D5" s="12" t="n">
        <x:f>COUNTIF('Extraction Review Embedding'!$D$2:$D$81,A5)</x:f>
        <x:v>8</x:v>
      </x:c>
      <x:c r="F5" s="12" t="str">
        <x:v>GPT 4o mini</x:v>
      </x:c>
      <x:c r="G5" s="39" t="str">
        <x:f>IFERROR(ROUND(AVERAGEIFS('Extraction Review Embedding'!$N$2:$N$81,'Extraction Review Embedding'!$E$2:$E$81,F5,'Extraction Review Embedding'!$N$2:$N$81,"&gt;0"),3),"")</x:f>
      </x:c>
      <x:c r="H5" s="12" t="n">
        <x:f>COUNTIFS('Extraction Review Embedding'!$E$2:$E$81,F5,'Extraction Review Embedding'!$O$2:$O$81,"PASS")</x:f>
        <x:v>0</x:v>
      </x:c>
      <x:c r="I5" s="12" t="n">
        <x:f>COUNTIF('Extraction Review Embedding'!$E$2:$E$81,F5)</x:f>
        <x:v>10</x:v>
      </x:c>
      <x:c r="K5" s="12" t="str">
        <x:v>Total Generation Cases</x:v>
      </x:c>
      <x:c r="L5" s="12" t="n">
        <x:v>100</x:v>
      </x:c>
      <x:c r="M5" s="12" t="str"/>
      <x:c r="N5" s="12" t="str"/>
    </x:row>
    <x:row r="6">
      <x:c r="A6" s="12" t="str">
        <x:v>GPT 5.4</x:v>
      </x:c>
      <x:c r="B6" s="39" t="str">
        <x:f>IFERROR(ROUND(AVERAGEIFS('Extraction Review Embedding'!$N$2:$N$81,'Extraction Review Embedding'!$D$2:$D$81,A6,'Extraction Review Embedding'!$N$2:$N$81,"&gt;0"),3),"")</x:f>
      </x:c>
      <x:c r="C6" s="12" t="n">
        <x:f>COUNTIFS('Extraction Review Embedding'!$D$2:$D$81,A6,'Extraction Review Embedding'!$O$2:$O$81,"PASS")</x:f>
        <x:v>0</x:v>
      </x:c>
      <x:c r="D6" s="12" t="n">
        <x:f>COUNTIF('Extraction Review Embedding'!$D$2:$D$81,A6)</x:f>
        <x:v>8</x:v>
      </x:c>
      <x:c r="F6" s="12" t="str">
        <x:v>GPT 5.4 mini</x:v>
      </x:c>
      <x:c r="G6" s="39" t="str">
        <x:f>IFERROR(ROUND(AVERAGEIFS('Extraction Review Embedding'!$N$2:$N$81,'Extraction Review Embedding'!$E$2:$E$81,F6,'Extraction Review Embedding'!$N$2:$N$81,"&gt;0"),3),"")</x:f>
      </x:c>
      <x:c r="H6" s="12" t="n">
        <x:f>COUNTIFS('Extraction Review Embedding'!$E$2:$E$81,F6,'Extraction Review Embedding'!$O$2:$O$81,"PASS")</x:f>
        <x:v>0</x:v>
      </x:c>
      <x:c r="I6" s="12" t="n">
        <x:f>COUNTIF('Extraction Review Embedding'!$E$2:$E$81,F6)</x:f>
        <x:v>10</x:v>
      </x:c>
      <x:c r="K6" s="12" t="str">
        <x:v>Total Code Mentor Cases</x:v>
      </x:c>
      <x:c r="L6" s="12" t="n">
        <x:v>10</x:v>
      </x:c>
      <x:c r="M6" s="12" t="str"/>
      <x:c r="N6" s="12" t="str"/>
    </x:row>
    <x:row r="7">
      <x:c r="A7" s="12" t="str">
        <x:v>GPT 5.4 mini</x:v>
      </x:c>
      <x:c r="B7" s="39" t="str">
        <x:f>IFERROR(ROUND(AVERAGEIFS('Extraction Review Embedding'!$N$2:$N$81,'Extraction Review Embedding'!$D$2:$D$81,A7,'Extraction Review Embedding'!$N$2:$N$81,"&gt;0"),3),"")</x:f>
      </x:c>
      <x:c r="C7" s="12" t="n">
        <x:f>COUNTIFS('Extraction Review Embedding'!$D$2:$D$81,A7,'Extraction Review Embedding'!$O$2:$O$81,"PASS")</x:f>
        <x:v>0</x:v>
      </x:c>
      <x:c r="D7" s="12" t="n">
        <x:f>COUNTIF('Extraction Review Embedding'!$D$2:$D$81,A7)</x:f>
        <x:v>8</x:v>
      </x:c>
      <x:c r="F7" s="12" t="str">
        <x:v>Gemini 2.5</x:v>
      </x:c>
      <x:c r="G7" s="39" t="str">
        <x:f>IFERROR(ROUND(AVERAGEIFS('Extraction Review Embedding'!$N$2:$N$81,'Extraction Review Embedding'!$E$2:$E$81,F7,'Extraction Review Embedding'!$N$2:$N$81,"&gt;0"),3),"")</x:f>
      </x:c>
      <x:c r="H7" s="12" t="n">
        <x:f>COUNTIFS('Extraction Review Embedding'!$E$2:$E$81,F7,'Extraction Review Embedding'!$O$2:$O$81,"PASS")</x:f>
        <x:v>0</x:v>
      </x:c>
      <x:c r="I7" s="12" t="n">
        <x:f>COUNTIF('Extraction Review Embedding'!$E$2:$E$81,F7)</x:f>
        <x:v>10</x:v>
      </x:c>
      <x:c r="K7" s="12" t="str">
        <x:v>Embedding Model</x:v>
      </x:c>
      <x:c r="L7" s="12" t="str">
        <x:v>Cohere Multilingual v3.0</x:v>
      </x:c>
      <x:c r="M7" s="12" t="str"/>
      <x:c r="N7" s="12" t="str"/>
    </x:row>
    <x:row r="8">
      <x:c r="A8" s="12" t="str">
        <x:v>GPT 5.5</x:v>
      </x:c>
      <x:c r="B8" s="39" t="str">
        <x:f>IFERROR(ROUND(AVERAGEIFS('Extraction Review Embedding'!$N$2:$N$81,'Extraction Review Embedding'!$D$2:$D$81,A8,'Extraction Review Embedding'!$N$2:$N$81,"&gt;0"),3),"")</x:f>
      </x:c>
      <x:c r="C8" s="12" t="n">
        <x:f>COUNTIFS('Extraction Review Embedding'!$D$2:$D$81,A8,'Extraction Review Embedding'!$O$2:$O$81,"PASS")</x:f>
        <x:v>0</x:v>
      </x:c>
      <x:c r="D8" s="12" t="n">
        <x:f>COUNTIF('Extraction Review Embedding'!$D$2:$D$81,A8)</x:f>
        <x:v>8</x:v>
      </x:c>
      <x:c r="F8" s="12" t="str">
        <x:v>Gemini 2.5 Flash</x:v>
      </x:c>
      <x:c r="G8" s="39" t="str">
        <x:f>IFERROR(ROUND(AVERAGEIFS('Extraction Review Embedding'!$N$2:$N$81,'Extraction Review Embedding'!$E$2:$E$81,F8,'Extraction Review Embedding'!$N$2:$N$81,"&gt;0"),3),"")</x:f>
      </x:c>
      <x:c r="H8" s="12" t="n">
        <x:f>COUNTIFS('Extraction Review Embedding'!$E$2:$E$81,F8,'Extraction Review Embedding'!$O$2:$O$81,"PASS")</x:f>
        <x:v>0</x:v>
      </x:c>
      <x:c r="I8" s="12" t="n">
        <x:f>COUNTIF('Extraction Review Embedding'!$E$2:$E$81,F8)</x:f>
        <x:v>10</x:v>
      </x:c>
      <x:c r="K8" s="12" t="str">
        <x:v>Goal</x:v>
      </x:c>
      <x:c r="L8" s="12" t="str">
        <x:v>Nhap diem tay, workbook tu tinh tong diem va pass_fail</x:v>
      </x:c>
      <x:c r="M8" s="12" t="str"/>
      <x:c r="N8" s="12" t="str"/>
    </x:row>
    <x:row r="9">
      <x:c r="A9" s="12" t="str">
        <x:v>Gemini 2.5</x:v>
      </x:c>
      <x:c r="B9" s="39" t="str">
        <x:f>IFERROR(ROUND(AVERAGEIFS('Extraction Review Embedding'!$N$2:$N$81,'Extraction Review Embedding'!$D$2:$D$81,A9,'Extraction Review Embedding'!$N$2:$N$81,"&gt;0"),3),"")</x:f>
      </x:c>
      <x:c r="C9" s="12" t="n">
        <x:f>COUNTIFS('Extraction Review Embedding'!$D$2:$D$81,A9,'Extraction Review Embedding'!$O$2:$O$81,"PASS")</x:f>
        <x:v>0</x:v>
      </x:c>
      <x:c r="D9" s="12" t="n">
        <x:f>COUNTIF('Extraction Review Embedding'!$D$2:$D$81,A9)</x:f>
        <x:v>8</x:v>
      </x:c>
      <x:c r="F9" s="12" t="str">
        <x:v>Gemini 2.5 Pro</x:v>
      </x:c>
      <x:c r="G9" s="39" t="str">
        <x:f>IFERROR(ROUND(AVERAGEIFS('Extraction Review Embedding'!$N$2:$N$81,'Extraction Review Embedding'!$E$2:$E$81,F9,'Extraction Review Embedding'!$N$2:$N$81,"&gt;0"),3),"")</x:f>
      </x:c>
      <x:c r="H9" s="12" t="n">
        <x:f>COUNTIFS('Extraction Review Embedding'!$E$2:$E$81,F9,'Extraction Review Embedding'!$O$2:$O$81,"PASS")</x:f>
        <x:v>0</x:v>
      </x:c>
      <x:c r="I9" s="12" t="n">
        <x:f>COUNTIF('Extraction Review Embedding'!$E$2:$E$81,F9)</x:f>
        <x:v>10</x:v>
      </x:c>
    </x:row>
    <x:row r="10">
      <x:c r="A10" s="12" t="str">
        <x:v>Gemini 2.5 Flash</x:v>
      </x:c>
      <x:c r="B10" s="39" t="str">
        <x:f>IFERROR(ROUND(AVERAGEIFS('Extraction Review Embedding'!$N$2:$N$81,'Extraction Review Embedding'!$D$2:$D$81,A10,'Extraction Review Embedding'!$N$2:$N$81,"&gt;0"),3),"")</x:f>
      </x:c>
      <x:c r="C10" s="12" t="n">
        <x:f>COUNTIFS('Extraction Review Embedding'!$D$2:$D$81,A10,'Extraction Review Embedding'!$O$2:$O$81,"PASS")</x:f>
        <x:v>0</x:v>
      </x:c>
      <x:c r="D10" s="12" t="n">
        <x:f>COUNTIF('Extraction Review Embedding'!$D$2:$D$81,A10)</x:f>
        <x:v>8</x:v>
      </x:c>
      <x:c r="F10" s="12" t="str">
        <x:v>Gemini 3.1 Flash Lite</x:v>
      </x:c>
      <x:c r="G10" s="39" t="str">
        <x:f>IFERROR(ROUND(AVERAGEIFS('Extraction Review Embedding'!$N$2:$N$81,'Extraction Review Embedding'!$E$2:$E$81,F10,'Extraction Review Embedding'!$N$2:$N$81,"&gt;0"),3),"")</x:f>
      </x:c>
      <x:c r="H10" s="12" t="n">
        <x:f>COUNTIFS('Extraction Review Embedding'!$E$2:$E$81,F10,'Extraction Review Embedding'!$O$2:$O$81,"PASS")</x:f>
        <x:v>0</x:v>
      </x:c>
      <x:c r="I10" s="12" t="n">
        <x:f>COUNTIF('Extraction Review Embedding'!$E$2:$E$81,F10)</x:f>
        <x:v>10</x:v>
      </x:c>
    </x:row>
    <x:row r="11">
      <x:c r="A11" s="12" t="str">
        <x:v>Gemini 2.5 Pro</x:v>
      </x:c>
      <x:c r="B11" s="39" t="str">
        <x:f>IFERROR(ROUND(AVERAGEIFS('Extraction Review Embedding'!$N$2:$N$81,'Extraction Review Embedding'!$D$2:$D$81,A11,'Extraction Review Embedding'!$N$2:$N$81,"&gt;0"),3),"")</x:f>
      </x:c>
      <x:c r="C11" s="12" t="n">
        <x:f>COUNTIFS('Extraction Review Embedding'!$D$2:$D$81,A11,'Extraction Review Embedding'!$O$2:$O$81,"PASS")</x:f>
        <x:v>0</x:v>
      </x:c>
      <x:c r="D11" s="12" t="n">
        <x:f>COUNTIF('Extraction Review Embedding'!$D$2:$D$81,A11)</x:f>
        <x:v>8</x:v>
      </x:c>
      <x:c r="F11" s="12" t="str">
        <x:v>Gemini 3.5 Flash</x:v>
      </x:c>
      <x:c r="G11" s="39" t="str">
        <x:f>IFERROR(ROUND(AVERAGEIFS('Extraction Review Embedding'!$N$2:$N$81,'Extraction Review Embedding'!$E$2:$E$81,F11,'Extraction Review Embedding'!$N$2:$N$81,"&gt;0"),3),"")</x:f>
      </x:c>
      <x:c r="H11" s="12" t="n">
        <x:f>COUNTIFS('Extraction Review Embedding'!$E$2:$E$81,F11,'Extraction Review Embedding'!$O$2:$O$81,"PASS")</x:f>
        <x:v>0</x:v>
      </x:c>
      <x:c r="I11" s="12" t="n">
        <x:f>COUNTIF('Extraction Review Embedding'!$E$2:$E$81,F11)</x:f>
        <x:v>10</x:v>
      </x:c>
    </x:row>
    <x:row r="12">
      <x:c r="A12" s="12" t="str">
        <x:v>Gemini 3.1 Flash Lite</x:v>
      </x:c>
      <x:c r="B12" s="39" t="str">
        <x:f>IFERROR(ROUND(AVERAGEIFS('Extraction Review Embedding'!$N$2:$N$81,'Extraction Review Embedding'!$D$2:$D$81,A12,'Extraction Review Embedding'!$N$2:$N$81,"&gt;0"),3),"")</x:f>
      </x:c>
      <x:c r="C12" s="12" t="n">
        <x:f>COUNTIFS('Extraction Review Embedding'!$D$2:$D$81,A12,'Extraction Review Embedding'!$O$2:$O$81,"PASS")</x:f>
        <x:v>0</x:v>
      </x:c>
      <x:c r="D12" s="12" t="n">
        <x:f>COUNTIF('Extraction Review Embedding'!$D$2:$D$81,A12)</x:f>
        <x:v>8</x:v>
      </x:c>
    </x:row>
    <x:row r="13">
      <x:c r="A13" s="12" t="str">
        <x:v>Gemini 3.5 Flash</x:v>
      </x:c>
      <x:c r="B13" s="39" t="str">
        <x:f>IFERROR(ROUND(AVERAGEIFS('Extraction Review Embedding'!$N$2:$N$81,'Extraction Review Embedding'!$D$2:$D$81,A13,'Extraction Review Embedding'!$N$2:$N$81,"&gt;0"),3),"")</x:f>
      </x:c>
      <x:c r="C13" s="12" t="n">
        <x:f>COUNTIFS('Extraction Review Embedding'!$D$2:$D$81,A13,'Extraction Review Embedding'!$O$2:$O$81,"PASS")</x:f>
        <x:v>0</x:v>
      </x:c>
      <x:c r="D13" s="12" t="n">
        <x:f>COUNTIF('Extraction Review Embedding'!$D$2:$D$81,A13)</x:f>
        <x:v>8</x:v>
      </x:c>
    </x:row>
    <x:row r="16">
      <x:c r="A16" s="45" t="str">
        <x:v>Generator Model</x:v>
      </x:c>
      <x:c r="B16" s="45" t="str">
        <x:v>Avg Score</x:v>
      </x:c>
      <x:c r="C16" s="45" t="str">
        <x:v>Pass Count</x:v>
      </x:c>
      <x:c r="D16" s="45" t="str">
        <x:v>Cases</x:v>
      </x:c>
      <x:c r="F16" s="66" t="str">
        <x:v>Reviewer Model</x:v>
      </x:c>
      <x:c r="G16" s="66" t="str">
        <x:v>Avg Score</x:v>
      </x:c>
      <x:c r="H16" s="66" t="str">
        <x:v>Pass Count</x:v>
      </x:c>
      <x:c r="I16" s="66" t="str">
        <x:v>Cases</x:v>
      </x:c>
    </x:row>
    <x:row r="17">
      <x:c r="A17" s="12" t="str">
        <x:v>GPT 4o</x:v>
      </x:c>
      <x:c r="B17" s="39" t="str">
        <x:f>IFERROR(ROUND(AVERAGEIFS('Generation Review'!$Q$2:$Q$101,'Generation Review'!$F$2:$F$101,A17,'Generation Review'!$Q$2:$Q$101,"&gt;0"),3),"")</x:f>
      </x:c>
      <x:c r="C17" s="12" t="n">
        <x:f>COUNTIFS('Generation Review'!$F$2:$F$101,A17,'Generation Review'!$R$2:$R$101,"PASS")</x:f>
        <x:v>0</x:v>
      </x:c>
      <x:c r="D17" s="12" t="n">
        <x:f>COUNTIF('Generation Review'!$F$2:$F$101,A17)</x:f>
        <x:v>10</x:v>
      </x:c>
      <x:c r="F17" s="12" t="str">
        <x:v>GPT 4o</x:v>
      </x:c>
      <x:c r="G17" s="39" t="str">
        <x:f>IFERROR(ROUND(AVERAGEIFS('Generation Review'!$Q$2:$Q$101,'Generation Review'!$G$2:$G$101,F17,'Generation Review'!$Q$2:$Q$101,"&gt;0"),3),"")</x:f>
      </x:c>
      <x:c r="H17" s="12" t="n">
        <x:f>COUNTIFS('Generation Review'!$G$2:$G$101,F17,'Generation Review'!$R$2:$R$101,"PASS")</x:f>
        <x:v>0</x:v>
      </x:c>
      <x:c r="I17" s="12" t="n">
        <x:f>COUNTIF('Generation Review'!$G$2:$G$101,F17)</x:f>
        <x:v>10</x:v>
      </x:c>
    </x:row>
    <x:row r="18">
      <x:c r="A18" s="12" t="str">
        <x:v>GPT 4o mini</x:v>
      </x:c>
      <x:c r="B18" s="39" t="str">
        <x:f>IFERROR(ROUND(AVERAGEIFS('Generation Review'!$Q$2:$Q$101,'Generation Review'!$F$2:$F$101,A18,'Generation Review'!$Q$2:$Q$101,"&gt;0"),3),"")</x:f>
      </x:c>
      <x:c r="C18" s="12" t="n">
        <x:f>COUNTIFS('Generation Review'!$F$2:$F$101,A18,'Generation Review'!$R$2:$R$101,"PASS")</x:f>
        <x:v>0</x:v>
      </x:c>
      <x:c r="D18" s="12" t="n">
        <x:f>COUNTIF('Generation Review'!$F$2:$F$101,A18)</x:f>
        <x:v>10</x:v>
      </x:c>
      <x:c r="F18" s="12" t="str">
        <x:v>GPT 4o mini</x:v>
      </x:c>
      <x:c r="G18" s="39" t="str">
        <x:f>IFERROR(ROUND(AVERAGEIFS('Generation Review'!$Q$2:$Q$101,'Generation Review'!$G$2:$G$101,F18,'Generation Review'!$Q$2:$Q$101,"&gt;0"),3),"")</x:f>
      </x:c>
      <x:c r="H18" s="12" t="n">
        <x:f>COUNTIFS('Generation Review'!$G$2:$G$101,F18,'Generation Review'!$R$2:$R$101,"PASS")</x:f>
        <x:v>0</x:v>
      </x:c>
      <x:c r="I18" s="12" t="n">
        <x:f>COUNTIF('Generation Review'!$G$2:$G$101,F18)</x:f>
        <x:v>10</x:v>
      </x:c>
    </x:row>
    <x:row r="19">
      <x:c r="A19" s="12" t="str">
        <x:v>GPT 5.4</x:v>
      </x:c>
      <x:c r="B19" s="39" t="str">
        <x:f>IFERROR(ROUND(AVERAGEIFS('Generation Review'!$Q$2:$Q$101,'Generation Review'!$F$2:$F$101,A19,'Generation Review'!$Q$2:$Q$101,"&gt;0"),3),"")</x:f>
      </x:c>
      <x:c r="C19" s="12" t="n">
        <x:f>COUNTIFS('Generation Review'!$F$2:$F$101,A19,'Generation Review'!$R$2:$R$101,"PASS")</x:f>
        <x:v>0</x:v>
      </x:c>
      <x:c r="D19" s="12" t="n">
        <x:f>COUNTIF('Generation Review'!$F$2:$F$101,A19)</x:f>
        <x:v>10</x:v>
      </x:c>
      <x:c r="F19" s="12" t="str">
        <x:v>GPT 5.4</x:v>
      </x:c>
      <x:c r="G19" s="39" t="str">
        <x:f>IFERROR(ROUND(AVERAGEIFS('Generation Review'!$Q$2:$Q$101,'Generation Review'!$G$2:$G$101,F19,'Generation Review'!$Q$2:$Q$101,"&gt;0"),3),"")</x:f>
      </x:c>
      <x:c r="H19" s="12" t="n">
        <x:f>COUNTIFS('Generation Review'!$G$2:$G$101,F19,'Generation Review'!$R$2:$R$101,"PASS")</x:f>
        <x:v>0</x:v>
      </x:c>
      <x:c r="I19" s="12" t="n">
        <x:f>COUNTIF('Generation Review'!$G$2:$G$101,F19)</x:f>
        <x:v>10</x:v>
      </x:c>
    </x:row>
    <x:row r="20">
      <x:c r="A20" s="12" t="str">
        <x:v>GPT 5.4 mini</x:v>
      </x:c>
      <x:c r="B20" s="39" t="str">
        <x:f>IFERROR(ROUND(AVERAGEIFS('Generation Review'!$Q$2:$Q$101,'Generation Review'!$F$2:$F$101,A20,'Generation Review'!$Q$2:$Q$101,"&gt;0"),3),"")</x:f>
      </x:c>
      <x:c r="C20" s="12" t="n">
        <x:f>COUNTIFS('Generation Review'!$F$2:$F$101,A20,'Generation Review'!$R$2:$R$101,"PASS")</x:f>
        <x:v>0</x:v>
      </x:c>
      <x:c r="D20" s="12" t="n">
        <x:f>COUNTIF('Generation Review'!$F$2:$F$101,A20)</x:f>
        <x:v>10</x:v>
      </x:c>
      <x:c r="F20" s="12" t="str">
        <x:v>GPT 5.4 mini</x:v>
      </x:c>
      <x:c r="G20" s="39" t="str">
        <x:f>IFERROR(ROUND(AVERAGEIFS('Generation Review'!$Q$2:$Q$101,'Generation Review'!$G$2:$G$101,F20,'Generation Review'!$Q$2:$Q$101,"&gt;0"),3),"")</x:f>
      </x:c>
      <x:c r="H20" s="12" t="n">
        <x:f>COUNTIFS('Generation Review'!$G$2:$G$101,F20,'Generation Review'!$R$2:$R$101,"PASS")</x:f>
        <x:v>0</x:v>
      </x:c>
      <x:c r="I20" s="12" t="n">
        <x:f>COUNTIF('Generation Review'!$G$2:$G$101,F20)</x:f>
        <x:v>10</x:v>
      </x:c>
    </x:row>
    <x:row r="21">
      <x:c r="A21" s="12" t="str">
        <x:v>GPT 5.5</x:v>
      </x:c>
      <x:c r="B21" s="39" t="str">
        <x:f>IFERROR(ROUND(AVERAGEIFS('Generation Review'!$Q$2:$Q$101,'Generation Review'!$F$2:$F$101,A21,'Generation Review'!$Q$2:$Q$101,"&gt;0"),3),"")</x:f>
      </x:c>
      <x:c r="C21" s="12" t="n">
        <x:f>COUNTIFS('Generation Review'!$F$2:$F$101,A21,'Generation Review'!$R$2:$R$101,"PASS")</x:f>
        <x:v>0</x:v>
      </x:c>
      <x:c r="D21" s="12" t="n">
        <x:f>COUNTIF('Generation Review'!$F$2:$F$101,A21)</x:f>
        <x:v>10</x:v>
      </x:c>
      <x:c r="F21" s="12" t="str">
        <x:v>GPT 5.5</x:v>
      </x:c>
      <x:c r="G21" s="39" t="str">
        <x:f>IFERROR(ROUND(AVERAGEIFS('Generation Review'!$Q$2:$Q$101,'Generation Review'!$G$2:$G$101,F21,'Generation Review'!$Q$2:$Q$101,"&gt;0"),3),"")</x:f>
      </x:c>
      <x:c r="H21" s="12" t="n">
        <x:f>COUNTIFS('Generation Review'!$G$2:$G$101,F21,'Generation Review'!$R$2:$R$101,"PASS")</x:f>
        <x:v>0</x:v>
      </x:c>
      <x:c r="I21" s="12" t="n">
        <x:f>COUNTIF('Generation Review'!$G$2:$G$101,F21)</x:f>
        <x:v>10</x:v>
      </x:c>
    </x:row>
    <x:row r="22">
      <x:c r="A22" s="12" t="str">
        <x:v>Gemini 2.5</x:v>
      </x:c>
      <x:c r="B22" s="39" t="str">
        <x:f>IFERROR(ROUND(AVERAGEIFS('Generation Review'!$Q$2:$Q$101,'Generation Review'!$F$2:$F$101,A22,'Generation Review'!$Q$2:$Q$101,"&gt;0"),3),"")</x:f>
      </x:c>
      <x:c r="C22" s="12" t="n">
        <x:f>COUNTIFS('Generation Review'!$F$2:$F$101,A22,'Generation Review'!$R$2:$R$101,"PASS")</x:f>
        <x:v>0</x:v>
      </x:c>
      <x:c r="D22" s="12" t="n">
        <x:f>COUNTIF('Generation Review'!$F$2:$F$101,A22)</x:f>
        <x:v>10</x:v>
      </x:c>
      <x:c r="F22" s="12" t="str">
        <x:v>Gemini 2.5</x:v>
      </x:c>
      <x:c r="G22" s="39" t="str">
        <x:f>IFERROR(ROUND(AVERAGEIFS('Generation Review'!$Q$2:$Q$101,'Generation Review'!$G$2:$G$101,F22,'Generation Review'!$Q$2:$Q$101,"&gt;0"),3),"")</x:f>
      </x:c>
      <x:c r="H22" s="12" t="n">
        <x:f>COUNTIFS('Generation Review'!$G$2:$G$101,F22,'Generation Review'!$R$2:$R$101,"PASS")</x:f>
        <x:v>0</x:v>
      </x:c>
      <x:c r="I22" s="12" t="n">
        <x:f>COUNTIF('Generation Review'!$G$2:$G$101,F22)</x:f>
        <x:v>10</x:v>
      </x:c>
    </x:row>
    <x:row r="23">
      <x:c r="A23" s="12" t="str">
        <x:v>Gemini 2.5 Flash</x:v>
      </x:c>
      <x:c r="B23" s="39" t="str">
        <x:f>IFERROR(ROUND(AVERAGEIFS('Generation Review'!$Q$2:$Q$101,'Generation Review'!$F$2:$F$101,A23,'Generation Review'!$Q$2:$Q$101,"&gt;0"),3),"")</x:f>
      </x:c>
      <x:c r="C23" s="12" t="n">
        <x:f>COUNTIFS('Generation Review'!$F$2:$F$101,A23,'Generation Review'!$R$2:$R$101,"PASS")</x:f>
        <x:v>0</x:v>
      </x:c>
      <x:c r="D23" s="12" t="n">
        <x:f>COUNTIF('Generation Review'!$F$2:$F$101,A23)</x:f>
        <x:v>10</x:v>
      </x:c>
      <x:c r="F23" s="12" t="str">
        <x:v>Gemini 2.5 Flash</x:v>
      </x:c>
      <x:c r="G23" s="39" t="str">
        <x:f>IFERROR(ROUND(AVERAGEIFS('Generation Review'!$Q$2:$Q$101,'Generation Review'!$G$2:$G$101,F23,'Generation Review'!$Q$2:$Q$101,"&gt;0"),3),"")</x:f>
      </x:c>
      <x:c r="H23" s="12" t="n">
        <x:f>COUNTIFS('Generation Review'!$G$2:$G$101,F23,'Generation Review'!$R$2:$R$101,"PASS")</x:f>
        <x:v>0</x:v>
      </x:c>
      <x:c r="I23" s="12" t="n">
        <x:f>COUNTIF('Generation Review'!$G$2:$G$101,F23)</x:f>
        <x:v>10</x:v>
      </x:c>
    </x:row>
    <x:row r="24">
      <x:c r="A24" s="12" t="str">
        <x:v>Gemini 2.5 Pro</x:v>
      </x:c>
      <x:c r="B24" s="39" t="str">
        <x:f>IFERROR(ROUND(AVERAGEIFS('Generation Review'!$Q$2:$Q$101,'Generation Review'!$F$2:$F$101,A24,'Generation Review'!$Q$2:$Q$101,"&gt;0"),3),"")</x:f>
      </x:c>
      <x:c r="C24" s="12" t="n">
        <x:f>COUNTIFS('Generation Review'!$F$2:$F$101,A24,'Generation Review'!$R$2:$R$101,"PASS")</x:f>
        <x:v>0</x:v>
      </x:c>
      <x:c r="D24" s="12" t="n">
        <x:f>COUNTIF('Generation Review'!$F$2:$F$101,A24)</x:f>
        <x:v>10</x:v>
      </x:c>
      <x:c r="F24" s="12" t="str">
        <x:v>Gemini 2.5 Pro</x:v>
      </x:c>
      <x:c r="G24" s="39" t="str">
        <x:f>IFERROR(ROUND(AVERAGEIFS('Generation Review'!$Q$2:$Q$101,'Generation Review'!$G$2:$G$101,F24,'Generation Review'!$Q$2:$Q$101,"&gt;0"),3),"")</x:f>
      </x:c>
      <x:c r="H24" s="12" t="n">
        <x:f>COUNTIFS('Generation Review'!$G$2:$G$101,F24,'Generation Review'!$R$2:$R$101,"PASS")</x:f>
        <x:v>0</x:v>
      </x:c>
      <x:c r="I24" s="12" t="n">
        <x:f>COUNTIF('Generation Review'!$G$2:$G$101,F24)</x:f>
        <x:v>10</x:v>
      </x:c>
    </x:row>
    <x:row r="25">
      <x:c r="A25" s="12" t="str">
        <x:v>Gemini 3.1 Flash Lite</x:v>
      </x:c>
      <x:c r="B25" s="39" t="str">
        <x:f>IFERROR(ROUND(AVERAGEIFS('Generation Review'!$Q$2:$Q$101,'Generation Review'!$F$2:$F$101,A25,'Generation Review'!$Q$2:$Q$101,"&gt;0"),3),"")</x:f>
      </x:c>
      <x:c r="C25" s="12" t="n">
        <x:f>COUNTIFS('Generation Review'!$F$2:$F$101,A25,'Generation Review'!$R$2:$R$101,"PASS")</x:f>
        <x:v>0</x:v>
      </x:c>
      <x:c r="D25" s="12" t="n">
        <x:f>COUNTIF('Generation Review'!$F$2:$F$101,A25)</x:f>
        <x:v>10</x:v>
      </x:c>
      <x:c r="F25" s="12" t="str">
        <x:v>Gemini 3.1 Flash Lite</x:v>
      </x:c>
      <x:c r="G25" s="39" t="str">
        <x:f>IFERROR(ROUND(AVERAGEIFS('Generation Review'!$Q$2:$Q$101,'Generation Review'!$G$2:$G$101,F25,'Generation Review'!$Q$2:$Q$101,"&gt;0"),3),"")</x:f>
      </x:c>
      <x:c r="H25" s="12" t="n">
        <x:f>COUNTIFS('Generation Review'!$G$2:$G$101,F25,'Generation Review'!$R$2:$R$101,"PASS")</x:f>
        <x:v>0</x:v>
      </x:c>
      <x:c r="I25" s="12" t="n">
        <x:f>COUNTIF('Generation Review'!$G$2:$G$101,F25)</x:f>
        <x:v>10</x:v>
      </x:c>
    </x:row>
    <x:row r="26">
      <x:c r="A26" s="12" t="str">
        <x:v>Gemini 3.5 Flash</x:v>
      </x:c>
      <x:c r="B26" s="39" t="str">
        <x:f>IFERROR(ROUND(AVERAGEIFS('Generation Review'!$Q$2:$Q$101,'Generation Review'!$F$2:$F$101,A26,'Generation Review'!$Q$2:$Q$101,"&gt;0"),3),"")</x:f>
      </x:c>
      <x:c r="C26" s="12" t="n">
        <x:f>COUNTIFS('Generation Review'!$F$2:$F$101,A26,'Generation Review'!$R$2:$R$101,"PASS")</x:f>
        <x:v>0</x:v>
      </x:c>
      <x:c r="D26" s="12" t="n">
        <x:f>COUNTIF('Generation Review'!$F$2:$F$101,A26)</x:f>
        <x:v>10</x:v>
      </x:c>
      <x:c r="F26" s="12" t="str">
        <x:v>Gemini 3.5 Flash</x:v>
      </x:c>
      <x:c r="G26" s="39" t="str">
        <x:f>IFERROR(ROUND(AVERAGEIFS('Generation Review'!$Q$2:$Q$101,'Generation Review'!$G$2:$G$101,F26,'Generation Review'!$Q$2:$Q$101,"&gt;0"),3),"")</x:f>
      </x:c>
      <x:c r="H26" s="12" t="n">
        <x:f>COUNTIFS('Generation Review'!$G$2:$G$101,F26,'Generation Review'!$R$2:$R$101,"PASS")</x:f>
        <x:v>0</x:v>
      </x:c>
      <x:c r="I26" s="12" t="n">
        <x:f>COUNTIF('Generation Review'!$G$2:$G$101,F26)</x:f>
        <x:v>10</x:v>
      </x:c>
    </x:row>
    <x:row r="30">
      <x:c r="A30" s="51" t="str">
        <x:v>Code Mentor Model</x:v>
      </x:c>
      <x:c r="B30" s="51" t="str">
        <x:v>Avg Adjusted Score</x:v>
      </x:c>
      <x:c r="C30" s="51" t="str">
        <x:v>Pass Count</x:v>
      </x:c>
      <x:c r="D30" s="51" t="str">
        <x:v>Cases</x:v>
      </x:c>
    </x:row>
    <x:row r="31">
      <x:c r="A31" s="12" t="str">
        <x:v>GPT 4o</x:v>
      </x:c>
      <x:c r="B31" s="39" t="str">
        <x:f>IFERROR(ROUND(AVERAGEIFS('Code Mentor'!$O$2:$O$11,'Code Mentor'!$E$2:$E$11,A31,'Code Mentor'!$O$2:$O$11,"&gt;0"),3),"")</x:f>
      </x:c>
      <x:c r="C31" s="12" t="n">
        <x:f>COUNTIFS('Code Mentor'!$E$2:$E$11,A31,'Code Mentor'!$P$2:$P$11,"PASS")</x:f>
        <x:v>0</x:v>
      </x:c>
      <x:c r="D31" s="12" t="n">
        <x:f>COUNTIF('Code Mentor'!$E$2:$E$11,A31)</x:f>
        <x:v>1</x:v>
      </x:c>
    </x:row>
    <x:row r="32">
      <x:c r="A32" s="12" t="str">
        <x:v>GPT 4o mini</x:v>
      </x:c>
      <x:c r="B32" s="39" t="str">
        <x:f>IFERROR(ROUND(AVERAGEIFS('Code Mentor'!$O$2:$O$11,'Code Mentor'!$E$2:$E$11,A32,'Code Mentor'!$O$2:$O$11,"&gt;0"),3),"")</x:f>
      </x:c>
      <x:c r="C32" s="12" t="n">
        <x:f>COUNTIFS('Code Mentor'!$E$2:$E$11,A32,'Code Mentor'!$P$2:$P$11,"PASS")</x:f>
        <x:v>0</x:v>
      </x:c>
      <x:c r="D32" s="12" t="n">
        <x:f>COUNTIF('Code Mentor'!$E$2:$E$11,A32)</x:f>
        <x:v>1</x:v>
      </x:c>
    </x:row>
    <x:row r="33">
      <x:c r="A33" s="12" t="str">
        <x:v>GPT 5.4</x:v>
      </x:c>
      <x:c r="B33" s="39" t="str">
        <x:f>IFERROR(ROUND(AVERAGEIFS('Code Mentor'!$O$2:$O$11,'Code Mentor'!$E$2:$E$11,A33,'Code Mentor'!$O$2:$O$11,"&gt;0"),3),"")</x:f>
      </x:c>
      <x:c r="C33" s="12" t="n">
        <x:f>COUNTIFS('Code Mentor'!$E$2:$E$11,A33,'Code Mentor'!$P$2:$P$11,"PASS")</x:f>
        <x:v>0</x:v>
      </x:c>
      <x:c r="D33" s="12" t="n">
        <x:f>COUNTIF('Code Mentor'!$E$2:$E$11,A33)</x:f>
        <x:v>1</x:v>
      </x:c>
    </x:row>
    <x:row r="34">
      <x:c r="A34" s="12" t="str">
        <x:v>GPT 5.4 mini</x:v>
      </x:c>
      <x:c r="B34" s="39" t="str">
        <x:f>IFERROR(ROUND(AVERAGEIFS('Code Mentor'!$O$2:$O$11,'Code Mentor'!$E$2:$E$11,A34,'Code Mentor'!$O$2:$O$11,"&gt;0"),3),"")</x:f>
      </x:c>
      <x:c r="C34" s="12" t="n">
        <x:f>COUNTIFS('Code Mentor'!$E$2:$E$11,A34,'Code Mentor'!$P$2:$P$11,"PASS")</x:f>
        <x:v>0</x:v>
      </x:c>
      <x:c r="D34" s="12" t="n">
        <x:f>COUNTIF('Code Mentor'!$E$2:$E$11,A34)</x:f>
        <x:v>1</x:v>
      </x:c>
    </x:row>
    <x:row r="35">
      <x:c r="A35" s="12" t="str">
        <x:v>GPT 5.5</x:v>
      </x:c>
      <x:c r="B35" s="39" t="str">
        <x:f>IFERROR(ROUND(AVERAGEIFS('Code Mentor'!$O$2:$O$11,'Code Mentor'!$E$2:$E$11,A35,'Code Mentor'!$O$2:$O$11,"&gt;0"),3),"")</x:f>
      </x:c>
      <x:c r="C35" s="12" t="n">
        <x:f>COUNTIFS('Code Mentor'!$E$2:$E$11,A35,'Code Mentor'!$P$2:$P$11,"PASS")</x:f>
        <x:v>0</x:v>
      </x:c>
      <x:c r="D35" s="12" t="n">
        <x:f>COUNTIF('Code Mentor'!$E$2:$E$11,A35)</x:f>
        <x:v>1</x:v>
      </x:c>
    </x:row>
    <x:row r="36">
      <x:c r="A36" s="12" t="str">
        <x:v>Gemini 2.5</x:v>
      </x:c>
      <x:c r="B36" s="39" t="str">
        <x:f>IFERROR(ROUND(AVERAGEIFS('Code Mentor'!$O$2:$O$11,'Code Mentor'!$E$2:$E$11,A36,'Code Mentor'!$O$2:$O$11,"&gt;0"),3),"")</x:f>
      </x:c>
      <x:c r="C36" s="12" t="n">
        <x:f>COUNTIFS('Code Mentor'!$E$2:$E$11,A36,'Code Mentor'!$P$2:$P$11,"PASS")</x:f>
        <x:v>0</x:v>
      </x:c>
      <x:c r="D36" s="12" t="n">
        <x:f>COUNTIF('Code Mentor'!$E$2:$E$11,A36)</x:f>
        <x:v>1</x:v>
      </x:c>
    </x:row>
    <x:row r="37">
      <x:c r="A37" s="12" t="str">
        <x:v>Gemini 2.5 Flash</x:v>
      </x:c>
      <x:c r="B37" s="39" t="str">
        <x:f>IFERROR(ROUND(AVERAGEIFS('Code Mentor'!$O$2:$O$11,'Code Mentor'!$E$2:$E$11,A37,'Code Mentor'!$O$2:$O$11,"&gt;0"),3),"")</x:f>
      </x:c>
      <x:c r="C37" s="12" t="n">
        <x:f>COUNTIFS('Code Mentor'!$E$2:$E$11,A37,'Code Mentor'!$P$2:$P$11,"PASS")</x:f>
        <x:v>0</x:v>
      </x:c>
      <x:c r="D37" s="12" t="n">
        <x:f>COUNTIF('Code Mentor'!$E$2:$E$11,A37)</x:f>
        <x:v>1</x:v>
      </x:c>
    </x:row>
    <x:row r="38">
      <x:c r="A38" s="12" t="str">
        <x:v>Gemini 2.5 Pro</x:v>
      </x:c>
      <x:c r="B38" s="39" t="str">
        <x:f>IFERROR(ROUND(AVERAGEIFS('Code Mentor'!$O$2:$O$11,'Code Mentor'!$E$2:$E$11,A38,'Code Mentor'!$O$2:$O$11,"&gt;0"),3),"")</x:f>
      </x:c>
      <x:c r="C38" s="12" t="n">
        <x:f>COUNTIFS('Code Mentor'!$E$2:$E$11,A38,'Code Mentor'!$P$2:$P$11,"PASS")</x:f>
        <x:v>0</x:v>
      </x:c>
      <x:c r="D38" s="12" t="n">
        <x:f>COUNTIF('Code Mentor'!$E$2:$E$11,A38)</x:f>
        <x:v>1</x:v>
      </x:c>
    </x:row>
    <x:row r="39">
      <x:c r="A39" s="12" t="str">
        <x:v>Gemini 3.1 Flash Lite</x:v>
      </x:c>
      <x:c r="B39" s="39" t="str">
        <x:f>IFERROR(ROUND(AVERAGEIFS('Code Mentor'!$O$2:$O$11,'Code Mentor'!$E$2:$E$11,A39,'Code Mentor'!$O$2:$O$11,"&gt;0"),3),"")</x:f>
      </x:c>
      <x:c r="C39" s="12" t="n">
        <x:f>COUNTIFS('Code Mentor'!$E$2:$E$11,A39,'Code Mentor'!$P$2:$P$11,"PASS")</x:f>
        <x:v>0</x:v>
      </x:c>
      <x:c r="D39" s="12" t="n">
        <x:f>COUNTIF('Code Mentor'!$E$2:$E$11,A39)</x:f>
        <x:v>1</x:v>
      </x:c>
    </x:row>
    <x:row r="40">
      <x:c r="A40" s="12" t="str">
        <x:v>Gemini 3.5 Flash</x:v>
      </x:c>
      <x:c r="B40" s="39" t="str">
        <x:f>IFERROR(ROUND(AVERAGEIFS('Code Mentor'!$O$2:$O$11,'Code Mentor'!$E$2:$E$11,A40,'Code Mentor'!$O$2:$O$11,"&gt;0"),3),"")</x:f>
      </x:c>
      <x:c r="C40" s="12" t="n">
        <x:f>COUNTIFS('Code Mentor'!$E$2:$E$11,A40,'Code Mentor'!$P$2:$P$11,"PASS")</x:f>
        <x:v>0</x:v>
      </x:c>
      <x:c r="D40" s="12" t="n">
        <x:f>COUNTIF('Code Mentor'!$E$2:$E$11,A40)</x:f>
        <x:v>1</x:v>
      </x:c>
    </x:row>
  </x:sheetData>
  <x:mergeCells>
    <x:mergeCell ref="A1:H1"/>
  </x:mergeCells>
  <x:conditionalFormatting sqref="B4:B13">
    <x:cfRule type="cellIs" dxfId="12" priority="1" operator="greaterThanOrEqual">
      <x:formula>0.8</x:formula>
    </x:cfRule>
    <x:cfRule type="cellIs" dxfId="13" priority="2" operator="between">
      <x:formula>0.0001</x:formula>
      <x:formula>0.7999</x:formula>
    </x:cfRule>
  </x:conditionalFormatting>
  <x:conditionalFormatting sqref="G4:G11">
    <x:cfRule type="cellIs" dxfId="14" priority="3" operator="greaterThanOrEqual">
      <x:formula>0.8</x:formula>
    </x:cfRule>
    <x:cfRule type="cellIs" dxfId="15" priority="4" operator="between">
      <x:formula>0.0001</x:formula>
      <x:formula>0.7999</x:formula>
    </x:cfRule>
  </x:conditionalFormatting>
  <x:conditionalFormatting sqref="B17:B26">
    <x:cfRule type="cellIs" dxfId="16" priority="5" operator="greaterThanOrEqual">
      <x:formula>0.8</x:formula>
    </x:cfRule>
    <x:cfRule type="cellIs" dxfId="17" priority="6" operator="between">
      <x:formula>0.0001</x:formula>
      <x:formula>0.7999</x:formula>
    </x:cfRule>
  </x:conditionalFormatting>
  <x:conditionalFormatting sqref="G17:G26">
    <x:cfRule type="cellIs" dxfId="18" priority="7" operator="greaterThanOrEqual">
      <x:formula>0.8</x:formula>
    </x:cfRule>
    <x:cfRule type="cellIs" dxfId="19" priority="8" operator="between">
      <x:formula>0.0001</x:formula>
      <x:formula>0.7999</x:formula>
    </x:cfRule>
  </x:conditionalFormatting>
  <x:conditionalFormatting sqref="B31:B40">
    <x:cfRule type="cellIs" dxfId="20" priority="9" operator="greaterThanOrEqual">
      <x:formula>0.8</x:formula>
    </x:cfRule>
    <x:cfRule type="cellIs" dxfId="21" priority="10" operator="between">
      <x:formula>0.0001</x:formula>
      <x:formula>0.7999</x:formula>
    </x:cfRule>
  </x:conditionalFormatting>
  <x:pageMargins left="0.7" right="0.7" top="0.75" bottom="0.75" header="0.3" footer="0.3"/>
</x:worksheet>
</file>