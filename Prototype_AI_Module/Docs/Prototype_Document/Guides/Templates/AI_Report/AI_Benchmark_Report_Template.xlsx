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Notes" sheetId="1" state="visible" r:id="rId1"/>
    <sheet xmlns:r="http://schemas.openxmlformats.org/officeDocument/2006/relationships" name="Test Guide" sheetId="2" state="visible" r:id="rId2"/>
    <sheet xmlns:r="http://schemas.openxmlformats.org/officeDocument/2006/relationships" name="Input Quality Benchmark" sheetId="3" state="visible" r:id="rId3"/>
    <sheet xmlns:r="http://schemas.openxmlformats.org/officeDocument/2006/relationships" name="Question Generation Benchmark" sheetId="4" state="visible" r:id="rId4"/>
    <sheet xmlns:r="http://schemas.openxmlformats.org/officeDocument/2006/relationships" name="Code Mentor Benchmark" sheetId="5" state="visible" r:id="rId5"/>
    <sheet xmlns:r="http://schemas.openxmlformats.org/officeDocument/2006/relationships" name="AI Config Version Tracking" sheetId="6" state="visible" r:id="rId6"/>
    <sheet xmlns:r="http://schemas.openxmlformats.org/officeDocument/2006/relationships" name="AI Config Catalog" sheetId="7" state="visible" r:id="rId7"/>
    <sheet xmlns:r="http://schemas.openxmlformats.org/officeDocument/2006/relationships" name="AI Config Snapshots" sheetId="8" state="visible" r:id="rId8"/>
    <sheet xmlns:r="http://schemas.openxmlformats.org/officeDocument/2006/relationships" name="Prompt Version Comparison" sheetId="9" state="visible" r:id="rId9"/>
    <sheet xmlns:r="http://schemas.openxmlformats.org/officeDocument/2006/relationships" name="Run History Index" sheetId="10" state="visible" r:id="rId10"/>
    <sheet xmlns:r="http://schemas.openxmlformats.org/officeDocument/2006/relationships" name="Scoring Dictionary" sheetId="11" state="visible" r:id="rId11"/>
    <sheet xmlns:r="http://schemas.openxmlformats.org/officeDocument/2006/relationships" name="Lists" sheetId="12" state="hidden" r:id="rId12"/>
    <sheet xmlns:r="http://schemas.openxmlformats.org/officeDocument/2006/relationships" name="Run Config References" sheetId="13" state="visible" r:id="rId13"/>
    <sheet xmlns:r="http://schemas.openxmlformats.org/officeDocument/2006/relationships" name="Input Quality Evidence" sheetId="14" state="visible" r:id="rId14"/>
    <sheet xmlns:r="http://schemas.openxmlformats.org/officeDocument/2006/relationships" name="Question Generation Evidence" sheetId="15" state="visible" r:id="rId15"/>
    <sheet xmlns:r="http://schemas.openxmlformats.org/officeDocument/2006/relationships" name="Code Mentor Evidence" sheetId="16" state="visible" r:id="rId16"/>
  </sheets>
  <definedNames>
    <definedName name="_xlnm._FilterDatabase" localSheetId="1" hidden="1">'Test Guide'!$A$3:$B$17</definedName>
    <definedName name="_xlnm._FilterDatabase" localSheetId="2" hidden="1">'Input Quality Benchmark'!$A$1:$AS$2</definedName>
    <definedName name="_xlnm._FilterDatabase" localSheetId="3" hidden="1">'Question Generation Benchmark'!$A$1:$AX$2</definedName>
    <definedName name="_xlnm._FilterDatabase" localSheetId="4" hidden="1">'Code Mentor Benchmark'!$A$1:$AH$2</definedName>
    <definedName name="_xlnm._FilterDatabase" localSheetId="5" hidden="1">'AI Config Version Tracking'!$A$1:$Y$47</definedName>
    <definedName name="_xlnm._FilterDatabase" localSheetId="6" hidden="1">'AI Config Catalog'!$A$1:$K$32</definedName>
    <definedName name="_xlnm._FilterDatabase" localSheetId="7" hidden="1">'AI Config Snapshots'!$A$1:$O$54</definedName>
    <definedName name="_xlnm._FilterDatabase" localSheetId="8" hidden="1">'Prompt Version Comparison'!$A$1:$V$8</definedName>
    <definedName name="_xlnm._FilterDatabase" localSheetId="9" hidden="1">'Run History Index'!$A$1:$S$26</definedName>
    <definedName name="_xlnm._FilterDatabase" localSheetId="10" hidden="1">'Scoring Dictionary'!$A$1:$G$25</definedName>
    <definedName name="_xlnm._FilterDatabase" localSheetId="12" hidden="1">'Run Config References'!$A$1:$Q$1</definedName>
    <definedName name="_xlnm._FilterDatabase" localSheetId="13" hidden="1">'Input Quality Evidence'!$A$1:$S$9</definedName>
    <definedName name="_xlnm._FilterDatabase" localSheetId="14" hidden="1">'Question Generation Evidence'!$A$1:$W$8</definedName>
    <definedName name="_xlnm._FilterDatabase" localSheetId="15" hidden="1">'Code Mentor Evidence'!$A$1:$R$1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sz val="12"/>
    </font>
    <font>
      <b val="1"/>
    </font>
  </fonts>
  <fills count="6">
    <fill>
      <patternFill/>
    </fill>
    <fill>
      <patternFill patternType="gray125"/>
    </fill>
    <fill>
      <patternFill patternType="solid">
        <fgColor rgb="001F4E78"/>
      </patternFill>
    </fill>
    <fill>
      <patternFill patternType="solid">
        <fgColor rgb="00FFF2CC"/>
      </patternFill>
    </fill>
    <fill>
      <patternFill patternType="solid">
        <fgColor rgb="00C65911"/>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0">
    <xf numFmtId="0" fontId="0"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4" borderId="1" applyAlignment="1" pivotButton="0" quotePrefix="0" xfId="0">
      <alignment horizontal="center" vertical="center" wrapText="1"/>
    </xf>
    <xf numFmtId="0" fontId="0" fillId="3" borderId="0" applyAlignment="1" pivotButton="0" quotePrefix="0" xfId="0">
      <alignment vertical="top" wrapText="1"/>
    </xf>
    <xf numFmtId="0" fontId="3" fillId="0" borderId="0" pivotButton="0" quotePrefix="0" xfId="0"/>
    <xf numFmtId="0" fontId="4" fillId="5" borderId="1" applyAlignment="1" pivotButton="0" quotePrefix="0" xfId="0">
      <alignment horizontal="center" vertical="center" wrapText="1"/>
    </xf>
    <xf numFmtId="0" fontId="4"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B9BD5"/>
    <outlinePr summaryBelow="1" summaryRight="1"/>
    <pageSetUpPr/>
  </sheetPr>
  <dimension ref="A1:B25"/>
  <sheetViews>
    <sheetView workbookViewId="0">
      <pane ySplit="3" topLeftCell="A4" activePane="bottomLeft" state="frozen"/>
      <selection pane="bottomLeft" activeCell="A1" sqref="A1"/>
    </sheetView>
  </sheetViews>
  <sheetFormatPr baseColWidth="8" defaultRowHeight="15"/>
  <cols>
    <col width="72" customWidth="1" min="1" max="1"/>
    <col width="72" customWidth="1" min="2" max="2"/>
  </cols>
  <sheetData>
    <row r="1">
      <c r="A1" s="1" t="inlineStr">
        <is>
          <t>AI Benchmark Report Template</t>
        </is>
      </c>
    </row>
    <row r="3">
      <c r="A3" s="2" t="inlineStr">
        <is>
          <t>Sheet</t>
        </is>
      </c>
      <c r="B3" s="2" t="inlineStr">
        <is>
          <t>Purpose</t>
        </is>
      </c>
    </row>
    <row r="4">
      <c r="A4" s="3" t="inlineStr">
        <is>
          <t>Input Quality Benchmark</t>
        </is>
      </c>
      <c r="B4" s="3" t="inlineStr">
        <is>
          <t>Benchmark khối đầu vào: extracted, embedding, chunking, autotagging</t>
        </is>
      </c>
    </row>
    <row r="5">
      <c r="A5" s="3" t="inlineStr">
        <is>
          <t>Question Generation Benchmark</t>
        </is>
      </c>
      <c r="B5" s="3" t="inlineStr">
        <is>
          <t>Benchmark retrieval, context pack, generator, reviewer</t>
        </is>
      </c>
    </row>
    <row r="6">
      <c r="A6" s="3" t="inlineStr">
        <is>
          <t>Code Mentor Benchmark</t>
        </is>
      </c>
      <c r="B6" s="3" t="inlineStr">
        <is>
          <t>Benchmark chất lượng AI mentor</t>
        </is>
      </c>
    </row>
    <row r="7">
      <c r="A7" s="3" t="inlineStr">
        <is>
          <t>AI Config Version Tracking</t>
        </is>
      </c>
      <c r="B7" s="3" t="inlineStr">
        <is>
          <t>Theo dõi prompt, rubric, policy, ground truth version</t>
        </is>
      </c>
    </row>
    <row r="8">
      <c r="A8" s="3" t="inlineStr">
        <is>
          <t>Scoring Dictionary</t>
        </is>
      </c>
      <c r="B8" s="3" t="inlineStr">
        <is>
          <t>Định nghĩa metric, trọng số, pass threshold</t>
        </is>
      </c>
    </row>
    <row r="10">
      <c r="A10" s="2" t="inlineStr">
        <is>
          <t>Note</t>
        </is>
      </c>
    </row>
    <row r="11">
      <c r="A11" t="inlineStr">
        <is>
          <t>Use run_id as the primary lookup key across all benchmark sheets.</t>
        </is>
      </c>
    </row>
    <row r="12">
      <c r="A12" t="inlineStr">
        <is>
          <t>Always fill prompt_version, rubric_version, policy_version, and ground_truth_set_id.</t>
        </is>
      </c>
    </row>
    <row r="13">
      <c r="A13" t="inlineStr">
        <is>
          <t>Freeze top row and keep filters enabled when editing.</t>
        </is>
      </c>
    </row>
    <row r="14">
      <c r="A14" t="inlineStr">
        <is>
          <t>Sample rows are illustrative and should be replaced with real benchmark data.</t>
        </is>
      </c>
    </row>
    <row r="16">
      <c r="A16" s="2" t="inlineStr">
        <is>
          <t>Workbook enhancements</t>
        </is>
      </c>
    </row>
    <row r="17">
      <c r="A17" t="inlineStr">
        <is>
          <t>This workbook includes dropdown validation for repeated fields and prefilled formulas for quality aggregates.</t>
        </is>
      </c>
    </row>
    <row r="18">
      <c r="A18" t="inlineStr">
        <is>
          <t>Rows 2-500 are ready for team data entry.</t>
        </is>
      </c>
    </row>
    <row r="19">
      <c r="A19" t="inlineStr">
        <is>
          <t>The hidden Lists sheet powers validation for online editing.</t>
        </is>
      </c>
    </row>
    <row r="21">
      <c r="A21" s="2" t="inlineStr">
        <is>
          <t>Config-aware sheets</t>
        </is>
      </c>
    </row>
    <row r="22">
      <c r="A22" t="inlineStr">
        <is>
          <t>AI Config Catalog = current runtime source of truth.</t>
        </is>
      </c>
    </row>
    <row r="23">
      <c r="A23" t="inlineStr">
        <is>
          <t>AI Config Snapshots = append-history snapshot files from App_Data/ai-config-history.</t>
        </is>
      </c>
    </row>
    <row r="24">
      <c r="A24" t="inlineStr">
        <is>
          <t>Prompt Version Comparison = compare prompt revisions against benchmark results.</t>
        </is>
      </c>
    </row>
    <row r="25">
      <c r="A25" t="inlineStr">
        <is>
          <t>Run History Index = all recorded runs with a prompt key guess/helper for audit.</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B20"/>
  <sheetViews>
    <sheetView workbookViewId="0">
      <pane ySplit="3" topLeftCell="A4" activePane="bottomLeft" state="frozen"/>
      <selection pane="bottomLeft" activeCell="A1" sqref="A1"/>
    </sheetView>
  </sheetViews>
  <sheetFormatPr baseColWidth="8" defaultRowHeight="15"/>
  <cols>
    <col width="24" customWidth="1" min="1" max="1"/>
    <col width="110" customWidth="1" min="2" max="2"/>
  </cols>
  <sheetData>
    <row r="1">
      <c r="A1" s="1" t="inlineStr">
        <is>
          <t>AI Benchmark Test Guide</t>
        </is>
      </c>
    </row>
    <row r="3">
      <c r="A3" s="2" t="inlineStr">
        <is>
          <t>Section</t>
        </is>
      </c>
      <c r="B3" s="2" t="inlineStr">
        <is>
          <t>Guidance</t>
        </is>
      </c>
    </row>
    <row r="4">
      <c r="A4" s="4" t="inlineStr">
        <is>
          <t>Goal</t>
        </is>
      </c>
      <c r="B4" s="3" t="inlineStr">
        <is>
          <t>Use this workbook to compare model quality, cost, latency, and configuration versions across the 3 core AI blocks: input pipeline, question generation, and code mentor.</t>
        </is>
      </c>
    </row>
    <row r="5">
      <c r="A5" s="4" t="inlineStr">
        <is>
          <t>Run order</t>
        </is>
      </c>
      <c r="B5" s="3" t="inlineStr">
        <is>
          <t>Recommended order: 1) Input Quality Benchmark, 2) Question Generation Benchmark, 3) Code Mentor Benchmark, 4) update AI Config Version Tracking whenever prompt/rubric/policy/ground truth changes.</t>
        </is>
      </c>
    </row>
    <row r="6">
      <c r="A6" s="4" t="inlineStr">
        <is>
          <t>Primary key</t>
        </is>
      </c>
      <c r="B6" s="3" t="inlineStr">
        <is>
          <t>Use run_id as the main lookup key across all sheets and against JSON run history from the prototype.</t>
        </is>
      </c>
    </row>
    <row r="7">
      <c r="A7" s="4" t="inlineStr">
        <is>
          <t>Version fields</t>
        </is>
      </c>
      <c r="B7" s="3" t="inlineStr">
        <is>
          <t>Always fill prompt_version, rubric_version, policy_version, and ground_truth_set_id. If one is not used, fill N/A instead of leaving it blank.</t>
        </is>
      </c>
    </row>
    <row r="8">
      <c r="A8" s="4" t="inlineStr">
        <is>
          <t>Input sheet scope</t>
        </is>
      </c>
      <c r="B8" s="3" t="inlineStr">
        <is>
          <t>One row should represent one complete document-processing run. Evaluate OCR/parsing quality, cleanliness, chunking quality, tagging relevance, and grounding traceability.</t>
        </is>
      </c>
    </row>
    <row r="9">
      <c r="A9" s="4" t="inlineStr">
        <is>
          <t>Generation sheet scope</t>
        </is>
      </c>
      <c r="B9" s="3" t="inlineStr">
        <is>
          <t>One row should represent one complete generation-review run. Keep the same context pack when comparing multiple models to ensure fairness.</t>
        </is>
      </c>
    </row>
    <row r="10">
      <c r="A10" s="4" t="inlineStr">
        <is>
          <t>Mentor sheet scope</t>
        </is>
      </c>
      <c r="B10" s="3" t="inlineStr">
        <is>
          <t>One row should represent one complete code mentor evaluation on one submission or case.</t>
        </is>
      </c>
    </row>
    <row r="11">
      <c r="A11" s="4" t="inlineStr">
        <is>
          <t>Config tracking scope</t>
        </is>
      </c>
      <c r="B11" s="3" t="inlineStr">
        <is>
          <t>One row should represent one configuration version change. Record why the change was made and whether quality/cost/latency improved.</t>
        </is>
      </c>
    </row>
    <row r="12">
      <c r="A12" s="4" t="inlineStr">
        <is>
          <t>Scoring rule</t>
        </is>
      </c>
      <c r="B12" s="3" t="inlineStr">
        <is>
          <t>All quality metrics should be normalized to the 0-1 range. Use the Scoring Dictionary sheet as the shared scoring contract for the whole team.</t>
        </is>
      </c>
    </row>
    <row r="13">
      <c r="A13" s="4" t="inlineStr">
        <is>
          <t>Pass fail rule</t>
        </is>
      </c>
      <c r="B13" s="3" t="inlineStr">
        <is>
          <t>Do not decide pass/fail by feeling. Use the threshold defined in the scoring guide and keep comments short, specific, and evidence-based.</t>
        </is>
      </c>
    </row>
    <row r="14">
      <c r="A14" s="4" t="inlineStr">
        <is>
          <t>Copy source data</t>
        </is>
      </c>
      <c r="B14" s="3" t="inlineStr">
        <is>
          <t>Use Copy Parsed or Copy JSON in the prototype UI to move results into this workbook faster. Prefer parsed output for readable evidence and JSON for audit/debug.</t>
        </is>
      </c>
    </row>
    <row r="15">
      <c r="A15" s="4" t="inlineStr">
        <is>
          <t>Evidence note</t>
        </is>
      </c>
      <c r="B15" s="3" t="inlineStr">
        <is>
          <t>When a model fails badly, note the concrete failure type: hallucination, weak grounding, difficulty mismatch, schema invalid, poor distractors, weak test cases, vague feedback, etc.</t>
        </is>
      </c>
    </row>
    <row r="16">
      <c r="A16" s="4" t="inlineStr">
        <is>
          <t>Comparison rule</t>
        </is>
      </c>
      <c r="B16" s="3" t="inlineStr">
        <is>
          <t>When comparing models, keep the same input case, same subject, same difficulty, same prompt version, and same rubric version whenever possible.</t>
        </is>
      </c>
    </row>
    <row r="17">
      <c r="A17" s="4" t="inlineStr">
        <is>
          <t>Reporting rule</t>
        </is>
      </c>
      <c r="B17" s="3" t="inlineStr">
        <is>
          <t>Each sheet should be able to answer: which model is best on quality, which is cheapest, which is the best balance, and why a configuration change was adopted.</t>
        </is>
      </c>
    </row>
    <row r="19">
      <c r="A19" s="7" t="inlineStr">
        <is>
          <t>Config-aware reporting</t>
        </is>
      </c>
      <c r="B19" s="3" t="inlineStr">
        <is>
          <t>Use AI Config Catalog, AI Config Snapshots, Prompt Version Comparison, and Run History Index together when explaining why one prompt or model was selected.</t>
        </is>
      </c>
    </row>
    <row r="20">
      <c r="A20" s="7" t="inlineStr">
        <is>
          <t>Important limit</t>
        </is>
      </c>
      <c r="B20" s="3" t="inlineStr">
        <is>
          <t>Current prototype run-history does not persist hard prompt/rubric/policy version refs in every run file. The prompt link columns may need manual confirmation until runtime stores version refs directly.</t>
        </is>
      </c>
    </row>
  </sheetData>
  <autoFilter ref="A3:B17"/>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AS500"/>
  <sheetViews>
    <sheetView showGridLines="1"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6" customWidth="1" min="4" max="4"/>
    <col width="13" customWidth="1" min="5" max="5"/>
    <col width="17" customWidth="1" min="6" max="6"/>
    <col width="15" customWidth="1" min="7" max="7"/>
    <col width="14" customWidth="1" min="8" max="8"/>
    <col width="16" customWidth="1" min="9" max="9"/>
    <col width="14" customWidth="1" min="10" max="10"/>
    <col width="19" customWidth="1" min="11" max="11"/>
    <col width="20" customWidth="1" min="12" max="12"/>
    <col width="20" customWidth="1" min="13" max="13"/>
    <col width="23" customWidth="1" min="14" max="14"/>
    <col width="25" customWidth="1" min="15" max="15"/>
    <col width="15" customWidth="1" min="16" max="16"/>
    <col width="19" customWidth="1" min="17" max="17"/>
    <col width="19" customWidth="1" min="18" max="18"/>
    <col width="19" customWidth="1" min="19" max="19"/>
    <col width="19" customWidth="1" min="20" max="20"/>
    <col width="17" customWidth="1" min="21" max="21"/>
    <col width="21" customWidth="1" min="22" max="22"/>
    <col width="14" customWidth="1" min="23" max="23"/>
    <col width="15" customWidth="1" min="24" max="24"/>
    <col width="21" customWidth="1" min="25" max="25"/>
    <col width="22" customWidth="1" min="26" max="26"/>
    <col width="14" customWidth="1" min="27" max="27"/>
    <col width="12" customWidth="1" min="28" max="28"/>
    <col width="12" customWidth="1" min="29" max="29"/>
    <col width="12" customWidth="1" min="30" max="30"/>
    <col width="18" customWidth="1" min="31" max="31"/>
    <col width="17" customWidth="1" min="32" max="32"/>
    <col width="20" customWidth="1" min="33" max="33"/>
    <col width="21" customWidth="1" min="34" max="34"/>
    <col width="22" customWidth="1" min="35" max="35"/>
    <col width="27" customWidth="1" min="36" max="36"/>
    <col width="25" customWidth="1" min="37" max="37"/>
    <col width="28" customWidth="1" min="38" max="38"/>
    <col width="28" customWidth="1" min="39" max="39"/>
    <col width="23" customWidth="1" min="40" max="40"/>
    <col width="20" customWidth="1" min="41" max="41"/>
    <col width="23" customWidth="1" min="42" max="42"/>
    <col width="12" customWidth="1" min="43" max="43"/>
    <col width="26" customWidth="1" min="44" max="44"/>
    <col width="30" customWidth="1" min="45" max="45"/>
  </cols>
  <sheetData>
    <row r="1" ht="28" customHeight="1">
      <c r="A1" s="2" t="inlineStr">
        <is>
          <t>run_id</t>
        </is>
      </c>
      <c r="B1" s="2" t="inlineStr">
        <is>
          <t>test_date</t>
        </is>
      </c>
      <c r="C1" s="2" t="inlineStr">
        <is>
          <t>tester</t>
        </is>
      </c>
      <c r="D1" s="2" t="inlineStr">
        <is>
          <t>function_group</t>
        </is>
      </c>
      <c r="E1" s="2" t="inlineStr">
        <is>
          <t>document_id</t>
        </is>
      </c>
      <c r="F1" s="2" t="inlineStr">
        <is>
          <t>document_name</t>
        </is>
      </c>
      <c r="G1" s="2" t="inlineStr">
        <is>
          <t>document_type</t>
        </is>
      </c>
      <c r="H1" s="2" t="inlineStr">
        <is>
          <t>subject_code</t>
        </is>
      </c>
      <c r="I1" s="2" t="inlineStr">
        <is>
          <t>syllabus_scope</t>
        </is>
      </c>
      <c r="J1" s="2" t="inlineStr">
        <is>
          <t>source_pages</t>
        </is>
      </c>
      <c r="K1" s="2" t="inlineStr">
        <is>
          <t>source_word_count</t>
        </is>
      </c>
      <c r="L1" s="2" t="inlineStr">
        <is>
          <t>source_image_count</t>
        </is>
      </c>
      <c r="M1" s="2" t="inlineStr">
        <is>
          <t>pipeline_mode</t>
        </is>
      </c>
      <c r="N1" s="2" t="inlineStr">
        <is>
          <t>ocr_model</t>
        </is>
      </c>
      <c r="O1" s="2" t="inlineStr">
        <is>
          <t>embedding_model</t>
        </is>
      </c>
      <c r="P1" s="2" t="inlineStr">
        <is>
          <t>tagging_model</t>
        </is>
      </c>
      <c r="Q1" s="2" t="inlineStr">
        <is>
          <t>chunking_strategy</t>
        </is>
      </c>
      <c r="R1" s="2" t="inlineStr">
        <is>
          <t>human_review_used</t>
        </is>
      </c>
      <c r="S1" s="2" t="inlineStr">
        <is>
          <t>prompt_version</t>
        </is>
      </c>
      <c r="T1" s="2" t="inlineStr">
        <is>
          <t>policy_version</t>
        </is>
      </c>
      <c r="U1" s="2" t="inlineStr">
        <is>
          <t>rubric_version</t>
        </is>
      </c>
      <c r="V1" s="2" t="inlineStr">
        <is>
          <t>ground_truth_set_id</t>
        </is>
      </c>
      <c r="W1" s="2" t="inlineStr">
        <is>
          <t>input_tokens</t>
        </is>
      </c>
      <c r="X1" s="2" t="inlineStr">
        <is>
          <t>output_tokens</t>
        </is>
      </c>
      <c r="Y1" s="2" t="inlineStr">
        <is>
          <t>vision_input_tokens</t>
        </is>
      </c>
      <c r="Z1" s="2" t="inlineStr">
        <is>
          <t>vision_output_tokens</t>
        </is>
      </c>
      <c r="AA1" s="2" t="inlineStr">
        <is>
          <t>total_tokens</t>
        </is>
      </c>
      <c r="AB1" s="2" t="inlineStr">
        <is>
          <t>latency_ms</t>
        </is>
      </c>
      <c r="AC1" s="2" t="inlineStr">
        <is>
          <t>cost_usd</t>
        </is>
      </c>
      <c r="AD1" s="2" t="inlineStr">
        <is>
          <t>num_chunks</t>
        </is>
      </c>
      <c r="AE1" s="2" t="inlineStr">
        <is>
          <t>avg_chunk_tokens</t>
        </is>
      </c>
      <c r="AF1" s="2" t="inlineStr">
        <is>
          <t>avg_chunk_words</t>
        </is>
      </c>
      <c r="AG1" s="2" t="inlineStr">
        <is>
          <t>tag_coverage_score</t>
        </is>
      </c>
      <c r="AH1" s="2" t="inlineStr">
        <is>
          <t>tag_relevance_score</t>
        </is>
      </c>
      <c r="AI1" s="2" t="inlineStr">
        <is>
          <t>chunk_boundary_score</t>
        </is>
      </c>
      <c r="AJ1" s="2" t="inlineStr">
        <is>
          <t>content_cleanliness_score</t>
        </is>
      </c>
      <c r="AK1" s="2" t="inlineStr">
        <is>
          <t>ocr_text_accuracy_score</t>
        </is>
      </c>
      <c r="AL1" s="2" t="inlineStr">
        <is>
          <t>image_description_quality_score</t>
        </is>
      </c>
      <c r="AM1" s="2" t="inlineStr">
        <is>
          <t>grounding_traceability_score</t>
        </is>
      </c>
      <c r="AN1" s="5" t="inlineStr">
        <is>
          <t>overall_quality_score</t>
        </is>
      </c>
      <c r="AO1" s="5" t="inlineStr">
        <is>
          <t>quality_cost_index</t>
        </is>
      </c>
      <c r="AP1" s="5" t="inlineStr">
        <is>
          <t>quality_latency_index</t>
        </is>
      </c>
      <c r="AQ1" s="2" t="inlineStr">
        <is>
          <t>pass_fail</t>
        </is>
      </c>
      <c r="AR1" s="2" t="inlineStr">
        <is>
          <t>main_issues</t>
        </is>
      </c>
      <c r="AS1" s="2" t="inlineStr">
        <is>
          <t>notes</t>
        </is>
      </c>
    </row>
    <row r="2">
      <c r="A2" s="3" t="inlineStr">
        <is>
          <t>input-2026-07-18-001</t>
        </is>
      </c>
      <c r="B2" s="3" t="inlineStr">
        <is>
          <t>2026-07-18</t>
        </is>
      </c>
      <c r="C2" s="3" t="inlineStr">
        <is>
          <t>Tester_A</t>
        </is>
      </c>
      <c r="D2" s="3" t="inlineStr">
        <is>
          <t>input-pipeline</t>
        </is>
      </c>
      <c r="E2" s="3" t="inlineStr">
        <is>
          <t>doc-c-001</t>
        </is>
      </c>
      <c r="F2" s="3" t="inlineStr">
        <is>
          <t>Intro_C_Ch1.pdf</t>
        </is>
      </c>
      <c r="G2" s="3" t="inlineStr">
        <is>
          <t>pdf</t>
        </is>
      </c>
      <c r="H2" s="3" t="inlineStr">
        <is>
          <t>C</t>
        </is>
      </c>
      <c r="I2" s="3" t="inlineStr">
        <is>
          <t>SYSTEM_CORE</t>
        </is>
      </c>
      <c r="J2" s="3" t="inlineStr">
        <is>
          <t>24</t>
        </is>
      </c>
      <c r="K2" s="3" t="inlineStr">
        <is>
          <t>12450</t>
        </is>
      </c>
      <c r="L2" s="3" t="inlineStr">
        <is>
          <t>18</t>
        </is>
      </c>
      <c r="M2" s="3" t="inlineStr">
        <is>
          <t>FullMultimodalPage</t>
        </is>
      </c>
      <c r="N2" s="3" t="inlineStr">
        <is>
          <t>gemini-2.5-flash-lite</t>
        </is>
      </c>
      <c r="O2" s="3" t="inlineStr">
        <is>
          <t>embed-multilingual-v3.0</t>
        </is>
      </c>
      <c r="P2" s="3" t="inlineStr">
        <is>
          <t>command-r7b</t>
        </is>
      </c>
      <c r="Q2" s="3" t="inlineStr">
        <is>
          <t>semantic_section</t>
        </is>
      </c>
      <c r="R2" s="3" t="inlineStr">
        <is>
          <t>true</t>
        </is>
      </c>
      <c r="S2" s="3" t="inlineStr">
        <is>
          <t>prompt.extract.v3</t>
        </is>
      </c>
      <c r="T2" s="3" t="inlineStr">
        <is>
          <t>policy.extract.v2</t>
        </is>
      </c>
      <c r="U2" s="3" t="inlineStr">
        <is>
          <t>rubric.input.v1</t>
        </is>
      </c>
      <c r="V2" s="3" t="inlineStr">
        <is>
          <t>gt-input-c-001</t>
        </is>
      </c>
      <c r="W2" s="3" t="inlineStr">
        <is>
          <t>18540</t>
        </is>
      </c>
      <c r="X2" s="3" t="inlineStr">
        <is>
          <t>1240</t>
        </is>
      </c>
      <c r="Y2" s="3" t="inlineStr">
        <is>
          <t>6200</t>
        </is>
      </c>
      <c r="Z2" s="3" t="inlineStr">
        <is>
          <t>740</t>
        </is>
      </c>
      <c r="AA2" s="3" t="inlineStr">
        <is>
          <t>26720</t>
        </is>
      </c>
      <c r="AB2" s="3" t="inlineStr">
        <is>
          <t>48215</t>
        </is>
      </c>
      <c r="AC2" s="3" t="inlineStr">
        <is>
          <t>0.018421</t>
        </is>
      </c>
      <c r="AD2" s="3" t="inlineStr">
        <is>
          <t>42</t>
        </is>
      </c>
      <c r="AE2" s="3" t="inlineStr">
        <is>
          <t>311</t>
        </is>
      </c>
      <c r="AF2" s="3" t="inlineStr">
        <is>
          <t>196</t>
        </is>
      </c>
      <c r="AG2" s="3" t="inlineStr">
        <is>
          <t>0.86</t>
        </is>
      </c>
      <c r="AH2" s="3" t="inlineStr">
        <is>
          <t>0.89</t>
        </is>
      </c>
      <c r="AI2" s="3" t="inlineStr">
        <is>
          <t>0.84</t>
        </is>
      </c>
      <c r="AJ2" s="3" t="inlineStr">
        <is>
          <t>0.88</t>
        </is>
      </c>
      <c r="AK2" s="3" t="inlineStr">
        <is>
          <t>0.87</t>
        </is>
      </c>
      <c r="AL2" s="3" t="inlineStr">
        <is>
          <t>0.79</t>
        </is>
      </c>
      <c r="AM2" s="3" t="inlineStr">
        <is>
          <t>0.91</t>
        </is>
      </c>
      <c r="AN2" s="6">
        <f>ROUND(AK2*0.2+AJ2*0.2+AI2*0.2+AH2*0.15+AG2*0.1+AL2*0.05+AM2*0.1,3)</f>
        <v/>
      </c>
      <c r="AO2" s="6">
        <f>IFERROR(ROUND(AN2/(AC2+0.0001),3),"")</f>
        <v/>
      </c>
      <c r="AP2" s="6">
        <f>IFERROR(ROUND(AN2/(AB2/1000),3),"")</f>
        <v/>
      </c>
      <c r="AQ2" s="3" t="inlineStr">
        <is>
          <t>Pass</t>
        </is>
      </c>
      <c r="AR2" s="3" t="inlineStr">
        <is>
          <t>minor image caption loss</t>
        </is>
      </c>
      <c r="AS2" s="3" t="inlineStr">
        <is>
          <t>Good overall extraction for chapter 1</t>
        </is>
      </c>
    </row>
    <row r="3">
      <c r="AN3" s="6">
        <f>ROUND(AK3*0.2+AJ3*0.2+AI3*0.2+AH3*0.15+AG3*0.1+AL3*0.05+AM3*0.1,3)</f>
        <v/>
      </c>
      <c r="AO3" s="6">
        <f>IFERROR(ROUND(AN3/(AC3+0.0001),3),"")</f>
        <v/>
      </c>
      <c r="AP3" s="6">
        <f>IFERROR(ROUND(AN3/(AB3/1000),3),"")</f>
        <v/>
      </c>
    </row>
    <row r="4">
      <c r="AN4" s="6">
        <f>ROUND(AK4*0.2+AJ4*0.2+AI4*0.2+AH4*0.15+AG4*0.1+AL4*0.05+AM4*0.1,3)</f>
        <v/>
      </c>
      <c r="AO4" s="6">
        <f>IFERROR(ROUND(AN4/(AC4+0.0001),3),"")</f>
        <v/>
      </c>
      <c r="AP4" s="6">
        <f>IFERROR(ROUND(AN4/(AB4/1000),3),"")</f>
        <v/>
      </c>
    </row>
    <row r="5">
      <c r="AN5" s="6">
        <f>ROUND(AK5*0.2+AJ5*0.2+AI5*0.2+AH5*0.15+AG5*0.1+AL5*0.05+AM5*0.1,3)</f>
        <v/>
      </c>
      <c r="AO5" s="6">
        <f>IFERROR(ROUND(AN5/(AC5+0.0001),3),"")</f>
        <v/>
      </c>
      <c r="AP5" s="6">
        <f>IFERROR(ROUND(AN5/(AB5/1000),3),"")</f>
        <v/>
      </c>
    </row>
    <row r="6">
      <c r="AN6" s="6">
        <f>ROUND(AK6*0.2+AJ6*0.2+AI6*0.2+AH6*0.15+AG6*0.1+AL6*0.05+AM6*0.1,3)</f>
        <v/>
      </c>
      <c r="AO6" s="6">
        <f>IFERROR(ROUND(AN6/(AC6+0.0001),3),"")</f>
        <v/>
      </c>
      <c r="AP6" s="6">
        <f>IFERROR(ROUND(AN6/(AB6/1000),3),"")</f>
        <v/>
      </c>
    </row>
    <row r="7">
      <c r="AN7" s="6">
        <f>ROUND(AK7*0.2+AJ7*0.2+AI7*0.2+AH7*0.15+AG7*0.1+AL7*0.05+AM7*0.1,3)</f>
        <v/>
      </c>
      <c r="AO7" s="6">
        <f>IFERROR(ROUND(AN7/(AC7+0.0001),3),"")</f>
        <v/>
      </c>
      <c r="AP7" s="6">
        <f>IFERROR(ROUND(AN7/(AB7/1000),3),"")</f>
        <v/>
      </c>
    </row>
    <row r="8">
      <c r="AN8" s="6">
        <f>ROUND(AK8*0.2+AJ8*0.2+AI8*0.2+AH8*0.15+AG8*0.1+AL8*0.05+AM8*0.1,3)</f>
        <v/>
      </c>
      <c r="AO8" s="6">
        <f>IFERROR(ROUND(AN8/(AC8+0.0001),3),"")</f>
        <v/>
      </c>
      <c r="AP8" s="6">
        <f>IFERROR(ROUND(AN8/(AB8/1000),3),"")</f>
        <v/>
      </c>
    </row>
    <row r="9">
      <c r="AN9" s="6">
        <f>ROUND(AK9*0.2+AJ9*0.2+AI9*0.2+AH9*0.15+AG9*0.1+AL9*0.05+AM9*0.1,3)</f>
        <v/>
      </c>
      <c r="AO9" s="6">
        <f>IFERROR(ROUND(AN9/(AC9+0.0001),3),"")</f>
        <v/>
      </c>
      <c r="AP9" s="6">
        <f>IFERROR(ROUND(AN9/(AB9/1000),3),"")</f>
        <v/>
      </c>
    </row>
    <row r="10">
      <c r="AN10" s="6">
        <f>ROUND(AK10*0.2+AJ10*0.2+AI10*0.2+AH10*0.15+AG10*0.1+AL10*0.05+AM10*0.1,3)</f>
        <v/>
      </c>
      <c r="AO10" s="6">
        <f>IFERROR(ROUND(AN10/(AC10+0.0001),3),"")</f>
        <v/>
      </c>
      <c r="AP10" s="6">
        <f>IFERROR(ROUND(AN10/(AB10/1000),3),"")</f>
        <v/>
      </c>
    </row>
    <row r="11">
      <c r="AN11" s="6">
        <f>ROUND(AK11*0.2+AJ11*0.2+AI11*0.2+AH11*0.15+AG11*0.1+AL11*0.05+AM11*0.1,3)</f>
        <v/>
      </c>
      <c r="AO11" s="6">
        <f>IFERROR(ROUND(AN11/(AC11+0.0001),3),"")</f>
        <v/>
      </c>
      <c r="AP11" s="6">
        <f>IFERROR(ROUND(AN11/(AB11/1000),3),"")</f>
        <v/>
      </c>
    </row>
    <row r="12">
      <c r="AN12" s="6">
        <f>ROUND(AK12*0.2+AJ12*0.2+AI12*0.2+AH12*0.15+AG12*0.1+AL12*0.05+AM12*0.1,3)</f>
        <v/>
      </c>
      <c r="AO12" s="6">
        <f>IFERROR(ROUND(AN12/(AC12+0.0001),3),"")</f>
        <v/>
      </c>
      <c r="AP12" s="6">
        <f>IFERROR(ROUND(AN12/(AB12/1000),3),"")</f>
        <v/>
      </c>
    </row>
    <row r="13">
      <c r="AN13" s="6">
        <f>ROUND(AK13*0.2+AJ13*0.2+AI13*0.2+AH13*0.15+AG13*0.1+AL13*0.05+AM13*0.1,3)</f>
        <v/>
      </c>
      <c r="AO13" s="6">
        <f>IFERROR(ROUND(AN13/(AC13+0.0001),3),"")</f>
        <v/>
      </c>
      <c r="AP13" s="6">
        <f>IFERROR(ROUND(AN13/(AB13/1000),3),"")</f>
        <v/>
      </c>
    </row>
    <row r="14">
      <c r="AN14" s="6">
        <f>ROUND(AK14*0.2+AJ14*0.2+AI14*0.2+AH14*0.15+AG14*0.1+AL14*0.05+AM14*0.1,3)</f>
        <v/>
      </c>
      <c r="AO14" s="6">
        <f>IFERROR(ROUND(AN14/(AC14+0.0001),3),"")</f>
        <v/>
      </c>
      <c r="AP14" s="6">
        <f>IFERROR(ROUND(AN14/(AB14/1000),3),"")</f>
        <v/>
      </c>
    </row>
    <row r="15">
      <c r="AN15" s="6">
        <f>ROUND(AK15*0.2+AJ15*0.2+AI15*0.2+AH15*0.15+AG15*0.1+AL15*0.05+AM15*0.1,3)</f>
        <v/>
      </c>
      <c r="AO15" s="6">
        <f>IFERROR(ROUND(AN15/(AC15+0.0001),3),"")</f>
        <v/>
      </c>
      <c r="AP15" s="6">
        <f>IFERROR(ROUND(AN15/(AB15/1000),3),"")</f>
        <v/>
      </c>
    </row>
    <row r="16">
      <c r="AN16" s="6">
        <f>ROUND(AK16*0.2+AJ16*0.2+AI16*0.2+AH16*0.15+AG16*0.1+AL16*0.05+AM16*0.1,3)</f>
        <v/>
      </c>
      <c r="AO16" s="6">
        <f>IFERROR(ROUND(AN16/(AC16+0.0001),3),"")</f>
        <v/>
      </c>
      <c r="AP16" s="6">
        <f>IFERROR(ROUND(AN16/(AB16/1000),3),"")</f>
        <v/>
      </c>
    </row>
    <row r="17">
      <c r="AN17" s="6">
        <f>ROUND(AK17*0.2+AJ17*0.2+AI17*0.2+AH17*0.15+AG17*0.1+AL17*0.05+AM17*0.1,3)</f>
        <v/>
      </c>
      <c r="AO17" s="6">
        <f>IFERROR(ROUND(AN17/(AC17+0.0001),3),"")</f>
        <v/>
      </c>
      <c r="AP17" s="6">
        <f>IFERROR(ROUND(AN17/(AB17/1000),3),"")</f>
        <v/>
      </c>
    </row>
    <row r="18">
      <c r="AN18" s="6">
        <f>ROUND(AK18*0.2+AJ18*0.2+AI18*0.2+AH18*0.15+AG18*0.1+AL18*0.05+AM18*0.1,3)</f>
        <v/>
      </c>
      <c r="AO18" s="6">
        <f>IFERROR(ROUND(AN18/(AC18+0.0001),3),"")</f>
        <v/>
      </c>
      <c r="AP18" s="6">
        <f>IFERROR(ROUND(AN18/(AB18/1000),3),"")</f>
        <v/>
      </c>
    </row>
    <row r="19">
      <c r="AN19" s="6">
        <f>ROUND(AK19*0.2+AJ19*0.2+AI19*0.2+AH19*0.15+AG19*0.1+AL19*0.05+AM19*0.1,3)</f>
        <v/>
      </c>
      <c r="AO19" s="6">
        <f>IFERROR(ROUND(AN19/(AC19+0.0001),3),"")</f>
        <v/>
      </c>
      <c r="AP19" s="6">
        <f>IFERROR(ROUND(AN19/(AB19/1000),3),"")</f>
        <v/>
      </c>
    </row>
    <row r="20">
      <c r="AN20" s="6">
        <f>ROUND(AK20*0.2+AJ20*0.2+AI20*0.2+AH20*0.15+AG20*0.1+AL20*0.05+AM20*0.1,3)</f>
        <v/>
      </c>
      <c r="AO20" s="6">
        <f>IFERROR(ROUND(AN20/(AC20+0.0001),3),"")</f>
        <v/>
      </c>
      <c r="AP20" s="6">
        <f>IFERROR(ROUND(AN20/(AB20/1000),3),"")</f>
        <v/>
      </c>
    </row>
    <row r="21">
      <c r="AN21" s="6">
        <f>ROUND(AK21*0.2+AJ21*0.2+AI21*0.2+AH21*0.15+AG21*0.1+AL21*0.05+AM21*0.1,3)</f>
        <v/>
      </c>
      <c r="AO21" s="6">
        <f>IFERROR(ROUND(AN21/(AC21+0.0001),3),"")</f>
        <v/>
      </c>
      <c r="AP21" s="6">
        <f>IFERROR(ROUND(AN21/(AB21/1000),3),"")</f>
        <v/>
      </c>
    </row>
    <row r="22">
      <c r="AN22" s="6">
        <f>ROUND(AK22*0.2+AJ22*0.2+AI22*0.2+AH22*0.15+AG22*0.1+AL22*0.05+AM22*0.1,3)</f>
        <v/>
      </c>
      <c r="AO22" s="6">
        <f>IFERROR(ROUND(AN22/(AC22+0.0001),3),"")</f>
        <v/>
      </c>
      <c r="AP22" s="6">
        <f>IFERROR(ROUND(AN22/(AB22/1000),3),"")</f>
        <v/>
      </c>
    </row>
    <row r="23">
      <c r="AN23" s="6">
        <f>ROUND(AK23*0.2+AJ23*0.2+AI23*0.2+AH23*0.15+AG23*0.1+AL23*0.05+AM23*0.1,3)</f>
        <v/>
      </c>
      <c r="AO23" s="6">
        <f>IFERROR(ROUND(AN23/(AC23+0.0001),3),"")</f>
        <v/>
      </c>
      <c r="AP23" s="6">
        <f>IFERROR(ROUND(AN23/(AB23/1000),3),"")</f>
        <v/>
      </c>
    </row>
    <row r="24">
      <c r="AN24" s="6">
        <f>ROUND(AK24*0.2+AJ24*0.2+AI24*0.2+AH24*0.15+AG24*0.1+AL24*0.05+AM24*0.1,3)</f>
        <v/>
      </c>
      <c r="AO24" s="6">
        <f>IFERROR(ROUND(AN24/(AC24+0.0001),3),"")</f>
        <v/>
      </c>
      <c r="AP24" s="6">
        <f>IFERROR(ROUND(AN24/(AB24/1000),3),"")</f>
        <v/>
      </c>
    </row>
    <row r="25">
      <c r="AN25" s="6">
        <f>ROUND(AK25*0.2+AJ25*0.2+AI25*0.2+AH25*0.15+AG25*0.1+AL25*0.05+AM25*0.1,3)</f>
        <v/>
      </c>
      <c r="AO25" s="6">
        <f>IFERROR(ROUND(AN25/(AC25+0.0001),3),"")</f>
        <v/>
      </c>
      <c r="AP25" s="6">
        <f>IFERROR(ROUND(AN25/(AB25/1000),3),"")</f>
        <v/>
      </c>
    </row>
    <row r="26">
      <c r="AN26" s="6">
        <f>ROUND(AK26*0.2+AJ26*0.2+AI26*0.2+AH26*0.15+AG26*0.1+AL26*0.05+AM26*0.1,3)</f>
        <v/>
      </c>
      <c r="AO26" s="6">
        <f>IFERROR(ROUND(AN26/(AC26+0.0001),3),"")</f>
        <v/>
      </c>
      <c r="AP26" s="6">
        <f>IFERROR(ROUND(AN26/(AB26/1000),3),"")</f>
        <v/>
      </c>
    </row>
    <row r="27">
      <c r="AN27" s="6">
        <f>ROUND(AK27*0.2+AJ27*0.2+AI27*0.2+AH27*0.15+AG27*0.1+AL27*0.05+AM27*0.1,3)</f>
        <v/>
      </c>
      <c r="AO27" s="6">
        <f>IFERROR(ROUND(AN27/(AC27+0.0001),3),"")</f>
        <v/>
      </c>
      <c r="AP27" s="6">
        <f>IFERROR(ROUND(AN27/(AB27/1000),3),"")</f>
        <v/>
      </c>
    </row>
    <row r="28">
      <c r="AN28" s="6">
        <f>ROUND(AK28*0.2+AJ28*0.2+AI28*0.2+AH28*0.15+AG28*0.1+AL28*0.05+AM28*0.1,3)</f>
        <v/>
      </c>
      <c r="AO28" s="6">
        <f>IFERROR(ROUND(AN28/(AC28+0.0001),3),"")</f>
        <v/>
      </c>
      <c r="AP28" s="6">
        <f>IFERROR(ROUND(AN28/(AB28/1000),3),"")</f>
        <v/>
      </c>
    </row>
    <row r="29">
      <c r="AN29" s="6">
        <f>ROUND(AK29*0.2+AJ29*0.2+AI29*0.2+AH29*0.15+AG29*0.1+AL29*0.05+AM29*0.1,3)</f>
        <v/>
      </c>
      <c r="AO29" s="6">
        <f>IFERROR(ROUND(AN29/(AC29+0.0001),3),"")</f>
        <v/>
      </c>
      <c r="AP29" s="6">
        <f>IFERROR(ROUND(AN29/(AB29/1000),3),"")</f>
        <v/>
      </c>
    </row>
    <row r="30">
      <c r="AN30" s="6">
        <f>ROUND(AK30*0.2+AJ30*0.2+AI30*0.2+AH30*0.15+AG30*0.1+AL30*0.05+AM30*0.1,3)</f>
        <v/>
      </c>
      <c r="AO30" s="6">
        <f>IFERROR(ROUND(AN30/(AC30+0.0001),3),"")</f>
        <v/>
      </c>
      <c r="AP30" s="6">
        <f>IFERROR(ROUND(AN30/(AB30/1000),3),"")</f>
        <v/>
      </c>
    </row>
    <row r="31">
      <c r="AN31" s="6">
        <f>ROUND(AK31*0.2+AJ31*0.2+AI31*0.2+AH31*0.15+AG31*0.1+AL31*0.05+AM31*0.1,3)</f>
        <v/>
      </c>
      <c r="AO31" s="6">
        <f>IFERROR(ROUND(AN31/(AC31+0.0001),3),"")</f>
        <v/>
      </c>
      <c r="AP31" s="6">
        <f>IFERROR(ROUND(AN31/(AB31/1000),3),"")</f>
        <v/>
      </c>
    </row>
    <row r="32">
      <c r="AN32" s="6">
        <f>ROUND(AK32*0.2+AJ32*0.2+AI32*0.2+AH32*0.15+AG32*0.1+AL32*0.05+AM32*0.1,3)</f>
        <v/>
      </c>
      <c r="AO32" s="6">
        <f>IFERROR(ROUND(AN32/(AC32+0.0001),3),"")</f>
        <v/>
      </c>
      <c r="AP32" s="6">
        <f>IFERROR(ROUND(AN32/(AB32/1000),3),"")</f>
        <v/>
      </c>
    </row>
    <row r="33">
      <c r="AN33" s="6">
        <f>ROUND(AK33*0.2+AJ33*0.2+AI33*0.2+AH33*0.15+AG33*0.1+AL33*0.05+AM33*0.1,3)</f>
        <v/>
      </c>
      <c r="AO33" s="6">
        <f>IFERROR(ROUND(AN33/(AC33+0.0001),3),"")</f>
        <v/>
      </c>
      <c r="AP33" s="6">
        <f>IFERROR(ROUND(AN33/(AB33/1000),3),"")</f>
        <v/>
      </c>
    </row>
    <row r="34">
      <c r="AN34" s="6">
        <f>ROUND(AK34*0.2+AJ34*0.2+AI34*0.2+AH34*0.15+AG34*0.1+AL34*0.05+AM34*0.1,3)</f>
        <v/>
      </c>
      <c r="AO34" s="6">
        <f>IFERROR(ROUND(AN34/(AC34+0.0001),3),"")</f>
        <v/>
      </c>
      <c r="AP34" s="6">
        <f>IFERROR(ROUND(AN34/(AB34/1000),3),"")</f>
        <v/>
      </c>
    </row>
    <row r="35">
      <c r="AN35" s="6">
        <f>ROUND(AK35*0.2+AJ35*0.2+AI35*0.2+AH35*0.15+AG35*0.1+AL35*0.05+AM35*0.1,3)</f>
        <v/>
      </c>
      <c r="AO35" s="6">
        <f>IFERROR(ROUND(AN35/(AC35+0.0001),3),"")</f>
        <v/>
      </c>
      <c r="AP35" s="6">
        <f>IFERROR(ROUND(AN35/(AB35/1000),3),"")</f>
        <v/>
      </c>
    </row>
    <row r="36">
      <c r="AN36" s="6">
        <f>ROUND(AK36*0.2+AJ36*0.2+AI36*0.2+AH36*0.15+AG36*0.1+AL36*0.05+AM36*0.1,3)</f>
        <v/>
      </c>
      <c r="AO36" s="6">
        <f>IFERROR(ROUND(AN36/(AC36+0.0001),3),"")</f>
        <v/>
      </c>
      <c r="AP36" s="6">
        <f>IFERROR(ROUND(AN36/(AB36/1000),3),"")</f>
        <v/>
      </c>
    </row>
    <row r="37">
      <c r="AN37" s="6">
        <f>ROUND(AK37*0.2+AJ37*0.2+AI37*0.2+AH37*0.15+AG37*0.1+AL37*0.05+AM37*0.1,3)</f>
        <v/>
      </c>
      <c r="AO37" s="6">
        <f>IFERROR(ROUND(AN37/(AC37+0.0001),3),"")</f>
        <v/>
      </c>
      <c r="AP37" s="6">
        <f>IFERROR(ROUND(AN37/(AB37/1000),3),"")</f>
        <v/>
      </c>
    </row>
    <row r="38">
      <c r="AN38" s="6">
        <f>ROUND(AK38*0.2+AJ38*0.2+AI38*0.2+AH38*0.15+AG38*0.1+AL38*0.05+AM38*0.1,3)</f>
        <v/>
      </c>
      <c r="AO38" s="6">
        <f>IFERROR(ROUND(AN38/(AC38+0.0001),3),"")</f>
        <v/>
      </c>
      <c r="AP38" s="6">
        <f>IFERROR(ROUND(AN38/(AB38/1000),3),"")</f>
        <v/>
      </c>
    </row>
    <row r="39">
      <c r="AN39" s="6">
        <f>ROUND(AK39*0.2+AJ39*0.2+AI39*0.2+AH39*0.15+AG39*0.1+AL39*0.05+AM39*0.1,3)</f>
        <v/>
      </c>
      <c r="AO39" s="6">
        <f>IFERROR(ROUND(AN39/(AC39+0.0001),3),"")</f>
        <v/>
      </c>
      <c r="AP39" s="6">
        <f>IFERROR(ROUND(AN39/(AB39/1000),3),"")</f>
        <v/>
      </c>
    </row>
    <row r="40">
      <c r="AN40" s="6">
        <f>ROUND(AK40*0.2+AJ40*0.2+AI40*0.2+AH40*0.15+AG40*0.1+AL40*0.05+AM40*0.1,3)</f>
        <v/>
      </c>
      <c r="AO40" s="6">
        <f>IFERROR(ROUND(AN40/(AC40+0.0001),3),"")</f>
        <v/>
      </c>
      <c r="AP40" s="6">
        <f>IFERROR(ROUND(AN40/(AB40/1000),3),"")</f>
        <v/>
      </c>
    </row>
    <row r="41">
      <c r="AN41" s="6">
        <f>ROUND(AK41*0.2+AJ41*0.2+AI41*0.2+AH41*0.15+AG41*0.1+AL41*0.05+AM41*0.1,3)</f>
        <v/>
      </c>
      <c r="AO41" s="6">
        <f>IFERROR(ROUND(AN41/(AC41+0.0001),3),"")</f>
        <v/>
      </c>
      <c r="AP41" s="6">
        <f>IFERROR(ROUND(AN41/(AB41/1000),3),"")</f>
        <v/>
      </c>
    </row>
    <row r="42">
      <c r="AN42" s="6">
        <f>ROUND(AK42*0.2+AJ42*0.2+AI42*0.2+AH42*0.15+AG42*0.1+AL42*0.05+AM42*0.1,3)</f>
        <v/>
      </c>
      <c r="AO42" s="6">
        <f>IFERROR(ROUND(AN42/(AC42+0.0001),3),"")</f>
        <v/>
      </c>
      <c r="AP42" s="6">
        <f>IFERROR(ROUND(AN42/(AB42/1000),3),"")</f>
        <v/>
      </c>
    </row>
    <row r="43">
      <c r="AN43" s="6">
        <f>ROUND(AK43*0.2+AJ43*0.2+AI43*0.2+AH43*0.15+AG43*0.1+AL43*0.05+AM43*0.1,3)</f>
        <v/>
      </c>
      <c r="AO43" s="6">
        <f>IFERROR(ROUND(AN43/(AC43+0.0001),3),"")</f>
        <v/>
      </c>
      <c r="AP43" s="6">
        <f>IFERROR(ROUND(AN43/(AB43/1000),3),"")</f>
        <v/>
      </c>
    </row>
    <row r="44">
      <c r="AN44" s="6">
        <f>ROUND(AK44*0.2+AJ44*0.2+AI44*0.2+AH44*0.15+AG44*0.1+AL44*0.05+AM44*0.1,3)</f>
        <v/>
      </c>
      <c r="AO44" s="6">
        <f>IFERROR(ROUND(AN44/(AC44+0.0001),3),"")</f>
        <v/>
      </c>
      <c r="AP44" s="6">
        <f>IFERROR(ROUND(AN44/(AB44/1000),3),"")</f>
        <v/>
      </c>
    </row>
    <row r="45">
      <c r="AN45" s="6">
        <f>ROUND(AK45*0.2+AJ45*0.2+AI45*0.2+AH45*0.15+AG45*0.1+AL45*0.05+AM45*0.1,3)</f>
        <v/>
      </c>
      <c r="AO45" s="6">
        <f>IFERROR(ROUND(AN45/(AC45+0.0001),3),"")</f>
        <v/>
      </c>
      <c r="AP45" s="6">
        <f>IFERROR(ROUND(AN45/(AB45/1000),3),"")</f>
        <v/>
      </c>
    </row>
    <row r="46">
      <c r="AN46" s="6">
        <f>ROUND(AK46*0.2+AJ46*0.2+AI46*0.2+AH46*0.15+AG46*0.1+AL46*0.05+AM46*0.1,3)</f>
        <v/>
      </c>
      <c r="AO46" s="6">
        <f>IFERROR(ROUND(AN46/(AC46+0.0001),3),"")</f>
        <v/>
      </c>
      <c r="AP46" s="6">
        <f>IFERROR(ROUND(AN46/(AB46/1000),3),"")</f>
        <v/>
      </c>
    </row>
    <row r="47">
      <c r="AN47" s="6">
        <f>ROUND(AK47*0.2+AJ47*0.2+AI47*0.2+AH47*0.15+AG47*0.1+AL47*0.05+AM47*0.1,3)</f>
        <v/>
      </c>
      <c r="AO47" s="6">
        <f>IFERROR(ROUND(AN47/(AC47+0.0001),3),"")</f>
        <v/>
      </c>
      <c r="AP47" s="6">
        <f>IFERROR(ROUND(AN47/(AB47/1000),3),"")</f>
        <v/>
      </c>
    </row>
    <row r="48">
      <c r="AN48" s="6">
        <f>ROUND(AK48*0.2+AJ48*0.2+AI48*0.2+AH48*0.15+AG48*0.1+AL48*0.05+AM48*0.1,3)</f>
        <v/>
      </c>
      <c r="AO48" s="6">
        <f>IFERROR(ROUND(AN48/(AC48+0.0001),3),"")</f>
        <v/>
      </c>
      <c r="AP48" s="6">
        <f>IFERROR(ROUND(AN48/(AB48/1000),3),"")</f>
        <v/>
      </c>
    </row>
    <row r="49">
      <c r="AN49" s="6">
        <f>ROUND(AK49*0.2+AJ49*0.2+AI49*0.2+AH49*0.15+AG49*0.1+AL49*0.05+AM49*0.1,3)</f>
        <v/>
      </c>
      <c r="AO49" s="6">
        <f>IFERROR(ROUND(AN49/(AC49+0.0001),3),"")</f>
        <v/>
      </c>
      <c r="AP49" s="6">
        <f>IFERROR(ROUND(AN49/(AB49/1000),3),"")</f>
        <v/>
      </c>
    </row>
    <row r="50">
      <c r="AN50" s="6">
        <f>ROUND(AK50*0.2+AJ50*0.2+AI50*0.2+AH50*0.15+AG50*0.1+AL50*0.05+AM50*0.1,3)</f>
        <v/>
      </c>
      <c r="AO50" s="6">
        <f>IFERROR(ROUND(AN50/(AC50+0.0001),3),"")</f>
        <v/>
      </c>
      <c r="AP50" s="6">
        <f>IFERROR(ROUND(AN50/(AB50/1000),3),"")</f>
        <v/>
      </c>
    </row>
    <row r="51">
      <c r="AN51" s="6">
        <f>ROUND(AK51*0.2+AJ51*0.2+AI51*0.2+AH51*0.15+AG51*0.1+AL51*0.05+AM51*0.1,3)</f>
        <v/>
      </c>
      <c r="AO51" s="6">
        <f>IFERROR(ROUND(AN51/(AC51+0.0001),3),"")</f>
        <v/>
      </c>
      <c r="AP51" s="6">
        <f>IFERROR(ROUND(AN51/(AB51/1000),3),"")</f>
        <v/>
      </c>
    </row>
    <row r="52">
      <c r="AN52" s="6">
        <f>ROUND(AK52*0.2+AJ52*0.2+AI52*0.2+AH52*0.15+AG52*0.1+AL52*0.05+AM52*0.1,3)</f>
        <v/>
      </c>
      <c r="AO52" s="6">
        <f>IFERROR(ROUND(AN52/(AC52+0.0001),3),"")</f>
        <v/>
      </c>
      <c r="AP52" s="6">
        <f>IFERROR(ROUND(AN52/(AB52/1000),3),"")</f>
        <v/>
      </c>
    </row>
    <row r="53">
      <c r="AN53" s="6">
        <f>ROUND(AK53*0.2+AJ53*0.2+AI53*0.2+AH53*0.15+AG53*0.1+AL53*0.05+AM53*0.1,3)</f>
        <v/>
      </c>
      <c r="AO53" s="6">
        <f>IFERROR(ROUND(AN53/(AC53+0.0001),3),"")</f>
        <v/>
      </c>
      <c r="AP53" s="6">
        <f>IFERROR(ROUND(AN53/(AB53/1000),3),"")</f>
        <v/>
      </c>
    </row>
    <row r="54">
      <c r="AN54" s="6">
        <f>ROUND(AK54*0.2+AJ54*0.2+AI54*0.2+AH54*0.15+AG54*0.1+AL54*0.05+AM54*0.1,3)</f>
        <v/>
      </c>
      <c r="AO54" s="6">
        <f>IFERROR(ROUND(AN54/(AC54+0.0001),3),"")</f>
        <v/>
      </c>
      <c r="AP54" s="6">
        <f>IFERROR(ROUND(AN54/(AB54/1000),3),"")</f>
        <v/>
      </c>
    </row>
    <row r="55">
      <c r="AN55" s="6">
        <f>ROUND(AK55*0.2+AJ55*0.2+AI55*0.2+AH55*0.15+AG55*0.1+AL55*0.05+AM55*0.1,3)</f>
        <v/>
      </c>
      <c r="AO55" s="6">
        <f>IFERROR(ROUND(AN55/(AC55+0.0001),3),"")</f>
        <v/>
      </c>
      <c r="AP55" s="6">
        <f>IFERROR(ROUND(AN55/(AB55/1000),3),"")</f>
        <v/>
      </c>
    </row>
    <row r="56">
      <c r="AN56" s="6">
        <f>ROUND(AK56*0.2+AJ56*0.2+AI56*0.2+AH56*0.15+AG56*0.1+AL56*0.05+AM56*0.1,3)</f>
        <v/>
      </c>
      <c r="AO56" s="6">
        <f>IFERROR(ROUND(AN56/(AC56+0.0001),3),"")</f>
        <v/>
      </c>
      <c r="AP56" s="6">
        <f>IFERROR(ROUND(AN56/(AB56/1000),3),"")</f>
        <v/>
      </c>
    </row>
    <row r="57">
      <c r="AN57" s="6">
        <f>ROUND(AK57*0.2+AJ57*0.2+AI57*0.2+AH57*0.15+AG57*0.1+AL57*0.05+AM57*0.1,3)</f>
        <v/>
      </c>
      <c r="AO57" s="6">
        <f>IFERROR(ROUND(AN57/(AC57+0.0001),3),"")</f>
        <v/>
      </c>
      <c r="AP57" s="6">
        <f>IFERROR(ROUND(AN57/(AB57/1000),3),"")</f>
        <v/>
      </c>
    </row>
    <row r="58">
      <c r="AN58" s="6">
        <f>ROUND(AK58*0.2+AJ58*0.2+AI58*0.2+AH58*0.15+AG58*0.1+AL58*0.05+AM58*0.1,3)</f>
        <v/>
      </c>
      <c r="AO58" s="6">
        <f>IFERROR(ROUND(AN58/(AC58+0.0001),3),"")</f>
        <v/>
      </c>
      <c r="AP58" s="6">
        <f>IFERROR(ROUND(AN58/(AB58/1000),3),"")</f>
        <v/>
      </c>
    </row>
    <row r="59">
      <c r="AN59" s="6">
        <f>ROUND(AK59*0.2+AJ59*0.2+AI59*0.2+AH59*0.15+AG59*0.1+AL59*0.05+AM59*0.1,3)</f>
        <v/>
      </c>
      <c r="AO59" s="6">
        <f>IFERROR(ROUND(AN59/(AC59+0.0001),3),"")</f>
        <v/>
      </c>
      <c r="AP59" s="6">
        <f>IFERROR(ROUND(AN59/(AB59/1000),3),"")</f>
        <v/>
      </c>
    </row>
    <row r="60">
      <c r="AN60" s="6">
        <f>ROUND(AK60*0.2+AJ60*0.2+AI60*0.2+AH60*0.15+AG60*0.1+AL60*0.05+AM60*0.1,3)</f>
        <v/>
      </c>
      <c r="AO60" s="6">
        <f>IFERROR(ROUND(AN60/(AC60+0.0001),3),"")</f>
        <v/>
      </c>
      <c r="AP60" s="6">
        <f>IFERROR(ROUND(AN60/(AB60/1000),3),"")</f>
        <v/>
      </c>
    </row>
    <row r="61">
      <c r="AN61" s="6">
        <f>ROUND(AK61*0.2+AJ61*0.2+AI61*0.2+AH61*0.15+AG61*0.1+AL61*0.05+AM61*0.1,3)</f>
        <v/>
      </c>
      <c r="AO61" s="6">
        <f>IFERROR(ROUND(AN61/(AC61+0.0001),3),"")</f>
        <v/>
      </c>
      <c r="AP61" s="6">
        <f>IFERROR(ROUND(AN61/(AB61/1000),3),"")</f>
        <v/>
      </c>
    </row>
    <row r="62">
      <c r="AN62" s="6">
        <f>ROUND(AK62*0.2+AJ62*0.2+AI62*0.2+AH62*0.15+AG62*0.1+AL62*0.05+AM62*0.1,3)</f>
        <v/>
      </c>
      <c r="AO62" s="6">
        <f>IFERROR(ROUND(AN62/(AC62+0.0001),3),"")</f>
        <v/>
      </c>
      <c r="AP62" s="6">
        <f>IFERROR(ROUND(AN62/(AB62/1000),3),"")</f>
        <v/>
      </c>
    </row>
    <row r="63">
      <c r="AN63" s="6">
        <f>ROUND(AK63*0.2+AJ63*0.2+AI63*0.2+AH63*0.15+AG63*0.1+AL63*0.05+AM63*0.1,3)</f>
        <v/>
      </c>
      <c r="AO63" s="6">
        <f>IFERROR(ROUND(AN63/(AC63+0.0001),3),"")</f>
        <v/>
      </c>
      <c r="AP63" s="6">
        <f>IFERROR(ROUND(AN63/(AB63/1000),3),"")</f>
        <v/>
      </c>
    </row>
    <row r="64">
      <c r="AN64" s="6">
        <f>ROUND(AK64*0.2+AJ64*0.2+AI64*0.2+AH64*0.15+AG64*0.1+AL64*0.05+AM64*0.1,3)</f>
        <v/>
      </c>
      <c r="AO64" s="6">
        <f>IFERROR(ROUND(AN64/(AC64+0.0001),3),"")</f>
        <v/>
      </c>
      <c r="AP64" s="6">
        <f>IFERROR(ROUND(AN64/(AB64/1000),3),"")</f>
        <v/>
      </c>
    </row>
    <row r="65">
      <c r="AN65" s="6">
        <f>ROUND(AK65*0.2+AJ65*0.2+AI65*0.2+AH65*0.15+AG65*0.1+AL65*0.05+AM65*0.1,3)</f>
        <v/>
      </c>
      <c r="AO65" s="6">
        <f>IFERROR(ROUND(AN65/(AC65+0.0001),3),"")</f>
        <v/>
      </c>
      <c r="AP65" s="6">
        <f>IFERROR(ROUND(AN65/(AB65/1000),3),"")</f>
        <v/>
      </c>
    </row>
    <row r="66">
      <c r="AN66" s="6">
        <f>ROUND(AK66*0.2+AJ66*0.2+AI66*0.2+AH66*0.15+AG66*0.1+AL66*0.05+AM66*0.1,3)</f>
        <v/>
      </c>
      <c r="AO66" s="6">
        <f>IFERROR(ROUND(AN66/(AC66+0.0001),3),"")</f>
        <v/>
      </c>
      <c r="AP66" s="6">
        <f>IFERROR(ROUND(AN66/(AB66/1000),3),"")</f>
        <v/>
      </c>
    </row>
    <row r="67">
      <c r="AN67" s="6">
        <f>ROUND(AK67*0.2+AJ67*0.2+AI67*0.2+AH67*0.15+AG67*0.1+AL67*0.05+AM67*0.1,3)</f>
        <v/>
      </c>
      <c r="AO67" s="6">
        <f>IFERROR(ROUND(AN67/(AC67+0.0001),3),"")</f>
        <v/>
      </c>
      <c r="AP67" s="6">
        <f>IFERROR(ROUND(AN67/(AB67/1000),3),"")</f>
        <v/>
      </c>
    </row>
    <row r="68">
      <c r="AN68" s="6">
        <f>ROUND(AK68*0.2+AJ68*0.2+AI68*0.2+AH68*0.15+AG68*0.1+AL68*0.05+AM68*0.1,3)</f>
        <v/>
      </c>
      <c r="AO68" s="6">
        <f>IFERROR(ROUND(AN68/(AC68+0.0001),3),"")</f>
        <v/>
      </c>
      <c r="AP68" s="6">
        <f>IFERROR(ROUND(AN68/(AB68/1000),3),"")</f>
        <v/>
      </c>
    </row>
    <row r="69">
      <c r="AN69" s="6">
        <f>ROUND(AK69*0.2+AJ69*0.2+AI69*0.2+AH69*0.15+AG69*0.1+AL69*0.05+AM69*0.1,3)</f>
        <v/>
      </c>
      <c r="AO69" s="6">
        <f>IFERROR(ROUND(AN69/(AC69+0.0001),3),"")</f>
        <v/>
      </c>
      <c r="AP69" s="6">
        <f>IFERROR(ROUND(AN69/(AB69/1000),3),"")</f>
        <v/>
      </c>
    </row>
    <row r="70">
      <c r="AN70" s="6">
        <f>ROUND(AK70*0.2+AJ70*0.2+AI70*0.2+AH70*0.15+AG70*0.1+AL70*0.05+AM70*0.1,3)</f>
        <v/>
      </c>
      <c r="AO70" s="6">
        <f>IFERROR(ROUND(AN70/(AC70+0.0001),3),"")</f>
        <v/>
      </c>
      <c r="AP70" s="6">
        <f>IFERROR(ROUND(AN70/(AB70/1000),3),"")</f>
        <v/>
      </c>
    </row>
    <row r="71">
      <c r="AN71" s="6">
        <f>ROUND(AK71*0.2+AJ71*0.2+AI71*0.2+AH71*0.15+AG71*0.1+AL71*0.05+AM71*0.1,3)</f>
        <v/>
      </c>
      <c r="AO71" s="6">
        <f>IFERROR(ROUND(AN71/(AC71+0.0001),3),"")</f>
        <v/>
      </c>
      <c r="AP71" s="6">
        <f>IFERROR(ROUND(AN71/(AB71/1000),3),"")</f>
        <v/>
      </c>
    </row>
    <row r="72">
      <c r="AN72" s="6">
        <f>ROUND(AK72*0.2+AJ72*0.2+AI72*0.2+AH72*0.15+AG72*0.1+AL72*0.05+AM72*0.1,3)</f>
        <v/>
      </c>
      <c r="AO72" s="6">
        <f>IFERROR(ROUND(AN72/(AC72+0.0001),3),"")</f>
        <v/>
      </c>
      <c r="AP72" s="6">
        <f>IFERROR(ROUND(AN72/(AB72/1000),3),"")</f>
        <v/>
      </c>
    </row>
    <row r="73">
      <c r="AN73" s="6">
        <f>ROUND(AK73*0.2+AJ73*0.2+AI73*0.2+AH73*0.15+AG73*0.1+AL73*0.05+AM73*0.1,3)</f>
        <v/>
      </c>
      <c r="AO73" s="6">
        <f>IFERROR(ROUND(AN73/(AC73+0.0001),3),"")</f>
        <v/>
      </c>
      <c r="AP73" s="6">
        <f>IFERROR(ROUND(AN73/(AB73/1000),3),"")</f>
        <v/>
      </c>
    </row>
    <row r="74">
      <c r="AN74" s="6">
        <f>ROUND(AK74*0.2+AJ74*0.2+AI74*0.2+AH74*0.15+AG74*0.1+AL74*0.05+AM74*0.1,3)</f>
        <v/>
      </c>
      <c r="AO74" s="6">
        <f>IFERROR(ROUND(AN74/(AC74+0.0001),3),"")</f>
        <v/>
      </c>
      <c r="AP74" s="6">
        <f>IFERROR(ROUND(AN74/(AB74/1000),3),"")</f>
        <v/>
      </c>
    </row>
    <row r="75">
      <c r="AN75" s="6">
        <f>ROUND(AK75*0.2+AJ75*0.2+AI75*0.2+AH75*0.15+AG75*0.1+AL75*0.05+AM75*0.1,3)</f>
        <v/>
      </c>
      <c r="AO75" s="6">
        <f>IFERROR(ROUND(AN75/(AC75+0.0001),3),"")</f>
        <v/>
      </c>
      <c r="AP75" s="6">
        <f>IFERROR(ROUND(AN75/(AB75/1000),3),"")</f>
        <v/>
      </c>
    </row>
    <row r="76">
      <c r="AN76" s="6">
        <f>ROUND(AK76*0.2+AJ76*0.2+AI76*0.2+AH76*0.15+AG76*0.1+AL76*0.05+AM76*0.1,3)</f>
        <v/>
      </c>
      <c r="AO76" s="6">
        <f>IFERROR(ROUND(AN76/(AC76+0.0001),3),"")</f>
        <v/>
      </c>
      <c r="AP76" s="6">
        <f>IFERROR(ROUND(AN76/(AB76/1000),3),"")</f>
        <v/>
      </c>
    </row>
    <row r="77">
      <c r="AN77" s="6">
        <f>ROUND(AK77*0.2+AJ77*0.2+AI77*0.2+AH77*0.15+AG77*0.1+AL77*0.05+AM77*0.1,3)</f>
        <v/>
      </c>
      <c r="AO77" s="6">
        <f>IFERROR(ROUND(AN77/(AC77+0.0001),3),"")</f>
        <v/>
      </c>
      <c r="AP77" s="6">
        <f>IFERROR(ROUND(AN77/(AB77/1000),3),"")</f>
        <v/>
      </c>
    </row>
    <row r="78">
      <c r="AN78" s="6">
        <f>ROUND(AK78*0.2+AJ78*0.2+AI78*0.2+AH78*0.15+AG78*0.1+AL78*0.05+AM78*0.1,3)</f>
        <v/>
      </c>
      <c r="AO78" s="6">
        <f>IFERROR(ROUND(AN78/(AC78+0.0001),3),"")</f>
        <v/>
      </c>
      <c r="AP78" s="6">
        <f>IFERROR(ROUND(AN78/(AB78/1000),3),"")</f>
        <v/>
      </c>
    </row>
    <row r="79">
      <c r="AN79" s="6">
        <f>ROUND(AK79*0.2+AJ79*0.2+AI79*0.2+AH79*0.15+AG79*0.1+AL79*0.05+AM79*0.1,3)</f>
        <v/>
      </c>
      <c r="AO79" s="6">
        <f>IFERROR(ROUND(AN79/(AC79+0.0001),3),"")</f>
        <v/>
      </c>
      <c r="AP79" s="6">
        <f>IFERROR(ROUND(AN79/(AB79/1000),3),"")</f>
        <v/>
      </c>
    </row>
    <row r="80">
      <c r="AN80" s="6">
        <f>ROUND(AK80*0.2+AJ80*0.2+AI80*0.2+AH80*0.15+AG80*0.1+AL80*0.05+AM80*0.1,3)</f>
        <v/>
      </c>
      <c r="AO80" s="6">
        <f>IFERROR(ROUND(AN80/(AC80+0.0001),3),"")</f>
        <v/>
      </c>
      <c r="AP80" s="6">
        <f>IFERROR(ROUND(AN80/(AB80/1000),3),"")</f>
        <v/>
      </c>
    </row>
    <row r="81">
      <c r="AN81" s="6">
        <f>ROUND(AK81*0.2+AJ81*0.2+AI81*0.2+AH81*0.15+AG81*0.1+AL81*0.05+AM81*0.1,3)</f>
        <v/>
      </c>
      <c r="AO81" s="6">
        <f>IFERROR(ROUND(AN81/(AC81+0.0001),3),"")</f>
        <v/>
      </c>
      <c r="AP81" s="6">
        <f>IFERROR(ROUND(AN81/(AB81/1000),3),"")</f>
        <v/>
      </c>
    </row>
    <row r="82">
      <c r="AN82" s="6">
        <f>ROUND(AK82*0.2+AJ82*0.2+AI82*0.2+AH82*0.15+AG82*0.1+AL82*0.05+AM82*0.1,3)</f>
        <v/>
      </c>
      <c r="AO82" s="6">
        <f>IFERROR(ROUND(AN82/(AC82+0.0001),3),"")</f>
        <v/>
      </c>
      <c r="AP82" s="6">
        <f>IFERROR(ROUND(AN82/(AB82/1000),3),"")</f>
        <v/>
      </c>
    </row>
    <row r="83">
      <c r="AN83" s="6">
        <f>ROUND(AK83*0.2+AJ83*0.2+AI83*0.2+AH83*0.15+AG83*0.1+AL83*0.05+AM83*0.1,3)</f>
        <v/>
      </c>
      <c r="AO83" s="6">
        <f>IFERROR(ROUND(AN83/(AC83+0.0001),3),"")</f>
        <v/>
      </c>
      <c r="AP83" s="6">
        <f>IFERROR(ROUND(AN83/(AB83/1000),3),"")</f>
        <v/>
      </c>
    </row>
    <row r="84">
      <c r="AN84" s="6">
        <f>ROUND(AK84*0.2+AJ84*0.2+AI84*0.2+AH84*0.15+AG84*0.1+AL84*0.05+AM84*0.1,3)</f>
        <v/>
      </c>
      <c r="AO84" s="6">
        <f>IFERROR(ROUND(AN84/(AC84+0.0001),3),"")</f>
        <v/>
      </c>
      <c r="AP84" s="6">
        <f>IFERROR(ROUND(AN84/(AB84/1000),3),"")</f>
        <v/>
      </c>
    </row>
    <row r="85">
      <c r="AN85" s="6">
        <f>ROUND(AK85*0.2+AJ85*0.2+AI85*0.2+AH85*0.15+AG85*0.1+AL85*0.05+AM85*0.1,3)</f>
        <v/>
      </c>
      <c r="AO85" s="6">
        <f>IFERROR(ROUND(AN85/(AC85+0.0001),3),"")</f>
        <v/>
      </c>
      <c r="AP85" s="6">
        <f>IFERROR(ROUND(AN85/(AB85/1000),3),"")</f>
        <v/>
      </c>
    </row>
    <row r="86">
      <c r="AN86" s="6">
        <f>ROUND(AK86*0.2+AJ86*0.2+AI86*0.2+AH86*0.15+AG86*0.1+AL86*0.05+AM86*0.1,3)</f>
        <v/>
      </c>
      <c r="AO86" s="6">
        <f>IFERROR(ROUND(AN86/(AC86+0.0001),3),"")</f>
        <v/>
      </c>
      <c r="AP86" s="6">
        <f>IFERROR(ROUND(AN86/(AB86/1000),3),"")</f>
        <v/>
      </c>
    </row>
    <row r="87">
      <c r="AN87" s="6">
        <f>ROUND(AK87*0.2+AJ87*0.2+AI87*0.2+AH87*0.15+AG87*0.1+AL87*0.05+AM87*0.1,3)</f>
        <v/>
      </c>
      <c r="AO87" s="6">
        <f>IFERROR(ROUND(AN87/(AC87+0.0001),3),"")</f>
        <v/>
      </c>
      <c r="AP87" s="6">
        <f>IFERROR(ROUND(AN87/(AB87/1000),3),"")</f>
        <v/>
      </c>
    </row>
    <row r="88">
      <c r="AN88" s="6">
        <f>ROUND(AK88*0.2+AJ88*0.2+AI88*0.2+AH88*0.15+AG88*0.1+AL88*0.05+AM88*0.1,3)</f>
        <v/>
      </c>
      <c r="AO88" s="6">
        <f>IFERROR(ROUND(AN88/(AC88+0.0001),3),"")</f>
        <v/>
      </c>
      <c r="AP88" s="6">
        <f>IFERROR(ROUND(AN88/(AB88/1000),3),"")</f>
        <v/>
      </c>
    </row>
    <row r="89">
      <c r="AN89" s="6">
        <f>ROUND(AK89*0.2+AJ89*0.2+AI89*0.2+AH89*0.15+AG89*0.1+AL89*0.05+AM89*0.1,3)</f>
        <v/>
      </c>
      <c r="AO89" s="6">
        <f>IFERROR(ROUND(AN89/(AC89+0.0001),3),"")</f>
        <v/>
      </c>
      <c r="AP89" s="6">
        <f>IFERROR(ROUND(AN89/(AB89/1000),3),"")</f>
        <v/>
      </c>
    </row>
    <row r="90">
      <c r="AN90" s="6">
        <f>ROUND(AK90*0.2+AJ90*0.2+AI90*0.2+AH90*0.15+AG90*0.1+AL90*0.05+AM90*0.1,3)</f>
        <v/>
      </c>
      <c r="AO90" s="6">
        <f>IFERROR(ROUND(AN90/(AC90+0.0001),3),"")</f>
        <v/>
      </c>
      <c r="AP90" s="6">
        <f>IFERROR(ROUND(AN90/(AB90/1000),3),"")</f>
        <v/>
      </c>
    </row>
    <row r="91">
      <c r="AN91" s="6">
        <f>ROUND(AK91*0.2+AJ91*0.2+AI91*0.2+AH91*0.15+AG91*0.1+AL91*0.05+AM91*0.1,3)</f>
        <v/>
      </c>
      <c r="AO91" s="6">
        <f>IFERROR(ROUND(AN91/(AC91+0.0001),3),"")</f>
        <v/>
      </c>
      <c r="AP91" s="6">
        <f>IFERROR(ROUND(AN91/(AB91/1000),3),"")</f>
        <v/>
      </c>
    </row>
    <row r="92">
      <c r="AN92" s="6">
        <f>ROUND(AK92*0.2+AJ92*0.2+AI92*0.2+AH92*0.15+AG92*0.1+AL92*0.05+AM92*0.1,3)</f>
        <v/>
      </c>
      <c r="AO92" s="6">
        <f>IFERROR(ROUND(AN92/(AC92+0.0001),3),"")</f>
        <v/>
      </c>
      <c r="AP92" s="6">
        <f>IFERROR(ROUND(AN92/(AB92/1000),3),"")</f>
        <v/>
      </c>
    </row>
    <row r="93">
      <c r="AN93" s="6">
        <f>ROUND(AK93*0.2+AJ93*0.2+AI93*0.2+AH93*0.15+AG93*0.1+AL93*0.05+AM93*0.1,3)</f>
        <v/>
      </c>
      <c r="AO93" s="6">
        <f>IFERROR(ROUND(AN93/(AC93+0.0001),3),"")</f>
        <v/>
      </c>
      <c r="AP93" s="6">
        <f>IFERROR(ROUND(AN93/(AB93/1000),3),"")</f>
        <v/>
      </c>
    </row>
    <row r="94">
      <c r="AN94" s="6">
        <f>ROUND(AK94*0.2+AJ94*0.2+AI94*0.2+AH94*0.15+AG94*0.1+AL94*0.05+AM94*0.1,3)</f>
        <v/>
      </c>
      <c r="AO94" s="6">
        <f>IFERROR(ROUND(AN94/(AC94+0.0001),3),"")</f>
        <v/>
      </c>
      <c r="AP94" s="6">
        <f>IFERROR(ROUND(AN94/(AB94/1000),3),"")</f>
        <v/>
      </c>
    </row>
    <row r="95">
      <c r="AN95" s="6">
        <f>ROUND(AK95*0.2+AJ95*0.2+AI95*0.2+AH95*0.15+AG95*0.1+AL95*0.05+AM95*0.1,3)</f>
        <v/>
      </c>
      <c r="AO95" s="6">
        <f>IFERROR(ROUND(AN95/(AC95+0.0001),3),"")</f>
        <v/>
      </c>
      <c r="AP95" s="6">
        <f>IFERROR(ROUND(AN95/(AB95/1000),3),"")</f>
        <v/>
      </c>
    </row>
    <row r="96">
      <c r="AN96" s="6">
        <f>ROUND(AK96*0.2+AJ96*0.2+AI96*0.2+AH96*0.15+AG96*0.1+AL96*0.05+AM96*0.1,3)</f>
        <v/>
      </c>
      <c r="AO96" s="6">
        <f>IFERROR(ROUND(AN96/(AC96+0.0001),3),"")</f>
        <v/>
      </c>
      <c r="AP96" s="6">
        <f>IFERROR(ROUND(AN96/(AB96/1000),3),"")</f>
        <v/>
      </c>
    </row>
    <row r="97">
      <c r="AN97" s="6">
        <f>ROUND(AK97*0.2+AJ97*0.2+AI97*0.2+AH97*0.15+AG97*0.1+AL97*0.05+AM97*0.1,3)</f>
        <v/>
      </c>
      <c r="AO97" s="6">
        <f>IFERROR(ROUND(AN97/(AC97+0.0001),3),"")</f>
        <v/>
      </c>
      <c r="AP97" s="6">
        <f>IFERROR(ROUND(AN97/(AB97/1000),3),"")</f>
        <v/>
      </c>
    </row>
    <row r="98">
      <c r="AN98" s="6">
        <f>ROUND(AK98*0.2+AJ98*0.2+AI98*0.2+AH98*0.15+AG98*0.1+AL98*0.05+AM98*0.1,3)</f>
        <v/>
      </c>
      <c r="AO98" s="6">
        <f>IFERROR(ROUND(AN98/(AC98+0.0001),3),"")</f>
        <v/>
      </c>
      <c r="AP98" s="6">
        <f>IFERROR(ROUND(AN98/(AB98/1000),3),"")</f>
        <v/>
      </c>
    </row>
    <row r="99">
      <c r="AN99" s="6">
        <f>ROUND(AK99*0.2+AJ99*0.2+AI99*0.2+AH99*0.15+AG99*0.1+AL99*0.05+AM99*0.1,3)</f>
        <v/>
      </c>
      <c r="AO99" s="6">
        <f>IFERROR(ROUND(AN99/(AC99+0.0001),3),"")</f>
        <v/>
      </c>
      <c r="AP99" s="6">
        <f>IFERROR(ROUND(AN99/(AB99/1000),3),"")</f>
        <v/>
      </c>
    </row>
    <row r="100">
      <c r="AN100" s="6">
        <f>ROUND(AK100*0.2+AJ100*0.2+AI100*0.2+AH100*0.15+AG100*0.1+AL100*0.05+AM100*0.1,3)</f>
        <v/>
      </c>
      <c r="AO100" s="6">
        <f>IFERROR(ROUND(AN100/(AC100+0.0001),3),"")</f>
        <v/>
      </c>
      <c r="AP100" s="6">
        <f>IFERROR(ROUND(AN100/(AB100/1000),3),"")</f>
        <v/>
      </c>
    </row>
    <row r="101">
      <c r="AN101" s="6">
        <f>ROUND(AK101*0.2+AJ101*0.2+AI101*0.2+AH101*0.15+AG101*0.1+AL101*0.05+AM101*0.1,3)</f>
        <v/>
      </c>
      <c r="AO101" s="6">
        <f>IFERROR(ROUND(AN101/(AC101+0.0001),3),"")</f>
        <v/>
      </c>
      <c r="AP101" s="6">
        <f>IFERROR(ROUND(AN101/(AB101/1000),3),"")</f>
        <v/>
      </c>
    </row>
    <row r="102">
      <c r="AN102" s="6">
        <f>ROUND(AK102*0.2+AJ102*0.2+AI102*0.2+AH102*0.15+AG102*0.1+AL102*0.05+AM102*0.1,3)</f>
        <v/>
      </c>
      <c r="AO102" s="6">
        <f>IFERROR(ROUND(AN102/(AC102+0.0001),3),"")</f>
        <v/>
      </c>
      <c r="AP102" s="6">
        <f>IFERROR(ROUND(AN102/(AB102/1000),3),"")</f>
        <v/>
      </c>
    </row>
    <row r="103">
      <c r="AN103" s="6">
        <f>ROUND(AK103*0.2+AJ103*0.2+AI103*0.2+AH103*0.15+AG103*0.1+AL103*0.05+AM103*0.1,3)</f>
        <v/>
      </c>
      <c r="AO103" s="6">
        <f>IFERROR(ROUND(AN103/(AC103+0.0001),3),"")</f>
        <v/>
      </c>
      <c r="AP103" s="6">
        <f>IFERROR(ROUND(AN103/(AB103/1000),3),"")</f>
        <v/>
      </c>
    </row>
    <row r="104">
      <c r="AN104" s="6">
        <f>ROUND(AK104*0.2+AJ104*0.2+AI104*0.2+AH104*0.15+AG104*0.1+AL104*0.05+AM104*0.1,3)</f>
        <v/>
      </c>
      <c r="AO104" s="6">
        <f>IFERROR(ROUND(AN104/(AC104+0.0001),3),"")</f>
        <v/>
      </c>
      <c r="AP104" s="6">
        <f>IFERROR(ROUND(AN104/(AB104/1000),3),"")</f>
        <v/>
      </c>
    </row>
    <row r="105">
      <c r="AN105" s="6">
        <f>ROUND(AK105*0.2+AJ105*0.2+AI105*0.2+AH105*0.15+AG105*0.1+AL105*0.05+AM105*0.1,3)</f>
        <v/>
      </c>
      <c r="AO105" s="6">
        <f>IFERROR(ROUND(AN105/(AC105+0.0001),3),"")</f>
        <v/>
      </c>
      <c r="AP105" s="6">
        <f>IFERROR(ROUND(AN105/(AB105/1000),3),"")</f>
        <v/>
      </c>
    </row>
    <row r="106">
      <c r="AN106" s="6">
        <f>ROUND(AK106*0.2+AJ106*0.2+AI106*0.2+AH106*0.15+AG106*0.1+AL106*0.05+AM106*0.1,3)</f>
        <v/>
      </c>
      <c r="AO106" s="6">
        <f>IFERROR(ROUND(AN106/(AC106+0.0001),3),"")</f>
        <v/>
      </c>
      <c r="AP106" s="6">
        <f>IFERROR(ROUND(AN106/(AB106/1000),3),"")</f>
        <v/>
      </c>
    </row>
    <row r="107">
      <c r="AN107" s="6">
        <f>ROUND(AK107*0.2+AJ107*0.2+AI107*0.2+AH107*0.15+AG107*0.1+AL107*0.05+AM107*0.1,3)</f>
        <v/>
      </c>
      <c r="AO107" s="6">
        <f>IFERROR(ROUND(AN107/(AC107+0.0001),3),"")</f>
        <v/>
      </c>
      <c r="AP107" s="6">
        <f>IFERROR(ROUND(AN107/(AB107/1000),3),"")</f>
        <v/>
      </c>
    </row>
    <row r="108">
      <c r="AN108" s="6">
        <f>ROUND(AK108*0.2+AJ108*0.2+AI108*0.2+AH108*0.15+AG108*0.1+AL108*0.05+AM108*0.1,3)</f>
        <v/>
      </c>
      <c r="AO108" s="6">
        <f>IFERROR(ROUND(AN108/(AC108+0.0001),3),"")</f>
        <v/>
      </c>
      <c r="AP108" s="6">
        <f>IFERROR(ROUND(AN108/(AB108/1000),3),"")</f>
        <v/>
      </c>
    </row>
    <row r="109">
      <c r="AN109" s="6">
        <f>ROUND(AK109*0.2+AJ109*0.2+AI109*0.2+AH109*0.15+AG109*0.1+AL109*0.05+AM109*0.1,3)</f>
        <v/>
      </c>
      <c r="AO109" s="6">
        <f>IFERROR(ROUND(AN109/(AC109+0.0001),3),"")</f>
        <v/>
      </c>
      <c r="AP109" s="6">
        <f>IFERROR(ROUND(AN109/(AB109/1000),3),"")</f>
        <v/>
      </c>
    </row>
    <row r="110">
      <c r="AN110" s="6">
        <f>ROUND(AK110*0.2+AJ110*0.2+AI110*0.2+AH110*0.15+AG110*0.1+AL110*0.05+AM110*0.1,3)</f>
        <v/>
      </c>
      <c r="AO110" s="6">
        <f>IFERROR(ROUND(AN110/(AC110+0.0001),3),"")</f>
        <v/>
      </c>
      <c r="AP110" s="6">
        <f>IFERROR(ROUND(AN110/(AB110/1000),3),"")</f>
        <v/>
      </c>
    </row>
    <row r="111">
      <c r="AN111" s="6">
        <f>ROUND(AK111*0.2+AJ111*0.2+AI111*0.2+AH111*0.15+AG111*0.1+AL111*0.05+AM111*0.1,3)</f>
        <v/>
      </c>
      <c r="AO111" s="6">
        <f>IFERROR(ROUND(AN111/(AC111+0.0001),3),"")</f>
        <v/>
      </c>
      <c r="AP111" s="6">
        <f>IFERROR(ROUND(AN111/(AB111/1000),3),"")</f>
        <v/>
      </c>
    </row>
    <row r="112">
      <c r="AN112" s="6">
        <f>ROUND(AK112*0.2+AJ112*0.2+AI112*0.2+AH112*0.15+AG112*0.1+AL112*0.05+AM112*0.1,3)</f>
        <v/>
      </c>
      <c r="AO112" s="6">
        <f>IFERROR(ROUND(AN112/(AC112+0.0001),3),"")</f>
        <v/>
      </c>
      <c r="AP112" s="6">
        <f>IFERROR(ROUND(AN112/(AB112/1000),3),"")</f>
        <v/>
      </c>
    </row>
    <row r="113">
      <c r="AN113" s="6">
        <f>ROUND(AK113*0.2+AJ113*0.2+AI113*0.2+AH113*0.15+AG113*0.1+AL113*0.05+AM113*0.1,3)</f>
        <v/>
      </c>
      <c r="AO113" s="6">
        <f>IFERROR(ROUND(AN113/(AC113+0.0001),3),"")</f>
        <v/>
      </c>
      <c r="AP113" s="6">
        <f>IFERROR(ROUND(AN113/(AB113/1000),3),"")</f>
        <v/>
      </c>
    </row>
    <row r="114">
      <c r="AN114" s="6">
        <f>ROUND(AK114*0.2+AJ114*0.2+AI114*0.2+AH114*0.15+AG114*0.1+AL114*0.05+AM114*0.1,3)</f>
        <v/>
      </c>
      <c r="AO114" s="6">
        <f>IFERROR(ROUND(AN114/(AC114+0.0001),3),"")</f>
        <v/>
      </c>
      <c r="AP114" s="6">
        <f>IFERROR(ROUND(AN114/(AB114/1000),3),"")</f>
        <v/>
      </c>
    </row>
    <row r="115">
      <c r="AN115" s="6">
        <f>ROUND(AK115*0.2+AJ115*0.2+AI115*0.2+AH115*0.15+AG115*0.1+AL115*0.05+AM115*0.1,3)</f>
        <v/>
      </c>
      <c r="AO115" s="6">
        <f>IFERROR(ROUND(AN115/(AC115+0.0001),3),"")</f>
        <v/>
      </c>
      <c r="AP115" s="6">
        <f>IFERROR(ROUND(AN115/(AB115/1000),3),"")</f>
        <v/>
      </c>
    </row>
    <row r="116">
      <c r="AN116" s="6">
        <f>ROUND(AK116*0.2+AJ116*0.2+AI116*0.2+AH116*0.15+AG116*0.1+AL116*0.05+AM116*0.1,3)</f>
        <v/>
      </c>
      <c r="AO116" s="6">
        <f>IFERROR(ROUND(AN116/(AC116+0.0001),3),"")</f>
        <v/>
      </c>
      <c r="AP116" s="6">
        <f>IFERROR(ROUND(AN116/(AB116/1000),3),"")</f>
        <v/>
      </c>
    </row>
    <row r="117">
      <c r="AN117" s="6">
        <f>ROUND(AK117*0.2+AJ117*0.2+AI117*0.2+AH117*0.15+AG117*0.1+AL117*0.05+AM117*0.1,3)</f>
        <v/>
      </c>
      <c r="AO117" s="6">
        <f>IFERROR(ROUND(AN117/(AC117+0.0001),3),"")</f>
        <v/>
      </c>
      <c r="AP117" s="6">
        <f>IFERROR(ROUND(AN117/(AB117/1000),3),"")</f>
        <v/>
      </c>
    </row>
    <row r="118">
      <c r="AN118" s="6">
        <f>ROUND(AK118*0.2+AJ118*0.2+AI118*0.2+AH118*0.15+AG118*0.1+AL118*0.05+AM118*0.1,3)</f>
        <v/>
      </c>
      <c r="AO118" s="6">
        <f>IFERROR(ROUND(AN118/(AC118+0.0001),3),"")</f>
        <v/>
      </c>
      <c r="AP118" s="6">
        <f>IFERROR(ROUND(AN118/(AB118/1000),3),"")</f>
        <v/>
      </c>
    </row>
    <row r="119">
      <c r="AN119" s="6">
        <f>ROUND(AK119*0.2+AJ119*0.2+AI119*0.2+AH119*0.15+AG119*0.1+AL119*0.05+AM119*0.1,3)</f>
        <v/>
      </c>
      <c r="AO119" s="6">
        <f>IFERROR(ROUND(AN119/(AC119+0.0001),3),"")</f>
        <v/>
      </c>
      <c r="AP119" s="6">
        <f>IFERROR(ROUND(AN119/(AB119/1000),3),"")</f>
        <v/>
      </c>
    </row>
    <row r="120">
      <c r="AN120" s="6">
        <f>ROUND(AK120*0.2+AJ120*0.2+AI120*0.2+AH120*0.15+AG120*0.1+AL120*0.05+AM120*0.1,3)</f>
        <v/>
      </c>
      <c r="AO120" s="6">
        <f>IFERROR(ROUND(AN120/(AC120+0.0001),3),"")</f>
        <v/>
      </c>
      <c r="AP120" s="6">
        <f>IFERROR(ROUND(AN120/(AB120/1000),3),"")</f>
        <v/>
      </c>
    </row>
    <row r="121">
      <c r="AN121" s="6">
        <f>ROUND(AK121*0.2+AJ121*0.2+AI121*0.2+AH121*0.15+AG121*0.1+AL121*0.05+AM121*0.1,3)</f>
        <v/>
      </c>
      <c r="AO121" s="6">
        <f>IFERROR(ROUND(AN121/(AC121+0.0001),3),"")</f>
        <v/>
      </c>
      <c r="AP121" s="6">
        <f>IFERROR(ROUND(AN121/(AB121/1000),3),"")</f>
        <v/>
      </c>
    </row>
    <row r="122">
      <c r="AN122" s="6">
        <f>ROUND(AK122*0.2+AJ122*0.2+AI122*0.2+AH122*0.15+AG122*0.1+AL122*0.05+AM122*0.1,3)</f>
        <v/>
      </c>
      <c r="AO122" s="6">
        <f>IFERROR(ROUND(AN122/(AC122+0.0001),3),"")</f>
        <v/>
      </c>
      <c r="AP122" s="6">
        <f>IFERROR(ROUND(AN122/(AB122/1000),3),"")</f>
        <v/>
      </c>
    </row>
    <row r="123">
      <c r="AN123" s="6">
        <f>ROUND(AK123*0.2+AJ123*0.2+AI123*0.2+AH123*0.15+AG123*0.1+AL123*0.05+AM123*0.1,3)</f>
        <v/>
      </c>
      <c r="AO123" s="6">
        <f>IFERROR(ROUND(AN123/(AC123+0.0001),3),"")</f>
        <v/>
      </c>
      <c r="AP123" s="6">
        <f>IFERROR(ROUND(AN123/(AB123/1000),3),"")</f>
        <v/>
      </c>
    </row>
    <row r="124">
      <c r="AN124" s="6">
        <f>ROUND(AK124*0.2+AJ124*0.2+AI124*0.2+AH124*0.15+AG124*0.1+AL124*0.05+AM124*0.1,3)</f>
        <v/>
      </c>
      <c r="AO124" s="6">
        <f>IFERROR(ROUND(AN124/(AC124+0.0001),3),"")</f>
        <v/>
      </c>
      <c r="AP124" s="6">
        <f>IFERROR(ROUND(AN124/(AB124/1000),3),"")</f>
        <v/>
      </c>
    </row>
    <row r="125">
      <c r="AN125" s="6">
        <f>ROUND(AK125*0.2+AJ125*0.2+AI125*0.2+AH125*0.15+AG125*0.1+AL125*0.05+AM125*0.1,3)</f>
        <v/>
      </c>
      <c r="AO125" s="6">
        <f>IFERROR(ROUND(AN125/(AC125+0.0001),3),"")</f>
        <v/>
      </c>
      <c r="AP125" s="6">
        <f>IFERROR(ROUND(AN125/(AB125/1000),3),"")</f>
        <v/>
      </c>
    </row>
    <row r="126">
      <c r="AN126" s="6">
        <f>ROUND(AK126*0.2+AJ126*0.2+AI126*0.2+AH126*0.15+AG126*0.1+AL126*0.05+AM126*0.1,3)</f>
        <v/>
      </c>
      <c r="AO126" s="6">
        <f>IFERROR(ROUND(AN126/(AC126+0.0001),3),"")</f>
        <v/>
      </c>
      <c r="AP126" s="6">
        <f>IFERROR(ROUND(AN126/(AB126/1000),3),"")</f>
        <v/>
      </c>
    </row>
    <row r="127">
      <c r="AN127" s="6">
        <f>ROUND(AK127*0.2+AJ127*0.2+AI127*0.2+AH127*0.15+AG127*0.1+AL127*0.05+AM127*0.1,3)</f>
        <v/>
      </c>
      <c r="AO127" s="6">
        <f>IFERROR(ROUND(AN127/(AC127+0.0001),3),"")</f>
        <v/>
      </c>
      <c r="AP127" s="6">
        <f>IFERROR(ROUND(AN127/(AB127/1000),3),"")</f>
        <v/>
      </c>
    </row>
    <row r="128">
      <c r="AN128" s="6">
        <f>ROUND(AK128*0.2+AJ128*0.2+AI128*0.2+AH128*0.15+AG128*0.1+AL128*0.05+AM128*0.1,3)</f>
        <v/>
      </c>
      <c r="AO128" s="6">
        <f>IFERROR(ROUND(AN128/(AC128+0.0001),3),"")</f>
        <v/>
      </c>
      <c r="AP128" s="6">
        <f>IFERROR(ROUND(AN128/(AB128/1000),3),"")</f>
        <v/>
      </c>
    </row>
    <row r="129">
      <c r="AN129" s="6">
        <f>ROUND(AK129*0.2+AJ129*0.2+AI129*0.2+AH129*0.15+AG129*0.1+AL129*0.05+AM129*0.1,3)</f>
        <v/>
      </c>
      <c r="AO129" s="6">
        <f>IFERROR(ROUND(AN129/(AC129+0.0001),3),"")</f>
        <v/>
      </c>
      <c r="AP129" s="6">
        <f>IFERROR(ROUND(AN129/(AB129/1000),3),"")</f>
        <v/>
      </c>
    </row>
    <row r="130">
      <c r="AN130" s="6">
        <f>ROUND(AK130*0.2+AJ130*0.2+AI130*0.2+AH130*0.15+AG130*0.1+AL130*0.05+AM130*0.1,3)</f>
        <v/>
      </c>
      <c r="AO130" s="6">
        <f>IFERROR(ROUND(AN130/(AC130+0.0001),3),"")</f>
        <v/>
      </c>
      <c r="AP130" s="6">
        <f>IFERROR(ROUND(AN130/(AB130/1000),3),"")</f>
        <v/>
      </c>
    </row>
    <row r="131">
      <c r="AN131" s="6">
        <f>ROUND(AK131*0.2+AJ131*0.2+AI131*0.2+AH131*0.15+AG131*0.1+AL131*0.05+AM131*0.1,3)</f>
        <v/>
      </c>
      <c r="AO131" s="6">
        <f>IFERROR(ROUND(AN131/(AC131+0.0001),3),"")</f>
        <v/>
      </c>
      <c r="AP131" s="6">
        <f>IFERROR(ROUND(AN131/(AB131/1000),3),"")</f>
        <v/>
      </c>
    </row>
    <row r="132">
      <c r="AN132" s="6">
        <f>ROUND(AK132*0.2+AJ132*0.2+AI132*0.2+AH132*0.15+AG132*0.1+AL132*0.05+AM132*0.1,3)</f>
        <v/>
      </c>
      <c r="AO132" s="6">
        <f>IFERROR(ROUND(AN132/(AC132+0.0001),3),"")</f>
        <v/>
      </c>
      <c r="AP132" s="6">
        <f>IFERROR(ROUND(AN132/(AB132/1000),3),"")</f>
        <v/>
      </c>
    </row>
    <row r="133">
      <c r="AN133" s="6">
        <f>ROUND(AK133*0.2+AJ133*0.2+AI133*0.2+AH133*0.15+AG133*0.1+AL133*0.05+AM133*0.1,3)</f>
        <v/>
      </c>
      <c r="AO133" s="6">
        <f>IFERROR(ROUND(AN133/(AC133+0.0001),3),"")</f>
        <v/>
      </c>
      <c r="AP133" s="6">
        <f>IFERROR(ROUND(AN133/(AB133/1000),3),"")</f>
        <v/>
      </c>
    </row>
    <row r="134">
      <c r="AN134" s="6">
        <f>ROUND(AK134*0.2+AJ134*0.2+AI134*0.2+AH134*0.15+AG134*0.1+AL134*0.05+AM134*0.1,3)</f>
        <v/>
      </c>
      <c r="AO134" s="6">
        <f>IFERROR(ROUND(AN134/(AC134+0.0001),3),"")</f>
        <v/>
      </c>
      <c r="AP134" s="6">
        <f>IFERROR(ROUND(AN134/(AB134/1000),3),"")</f>
        <v/>
      </c>
    </row>
    <row r="135">
      <c r="AN135" s="6">
        <f>ROUND(AK135*0.2+AJ135*0.2+AI135*0.2+AH135*0.15+AG135*0.1+AL135*0.05+AM135*0.1,3)</f>
        <v/>
      </c>
      <c r="AO135" s="6">
        <f>IFERROR(ROUND(AN135/(AC135+0.0001),3),"")</f>
        <v/>
      </c>
      <c r="AP135" s="6">
        <f>IFERROR(ROUND(AN135/(AB135/1000),3),"")</f>
        <v/>
      </c>
    </row>
    <row r="136">
      <c r="AN136" s="6">
        <f>ROUND(AK136*0.2+AJ136*0.2+AI136*0.2+AH136*0.15+AG136*0.1+AL136*0.05+AM136*0.1,3)</f>
        <v/>
      </c>
      <c r="AO136" s="6">
        <f>IFERROR(ROUND(AN136/(AC136+0.0001),3),"")</f>
        <v/>
      </c>
      <c r="AP136" s="6">
        <f>IFERROR(ROUND(AN136/(AB136/1000),3),"")</f>
        <v/>
      </c>
    </row>
    <row r="137">
      <c r="AN137" s="6">
        <f>ROUND(AK137*0.2+AJ137*0.2+AI137*0.2+AH137*0.15+AG137*0.1+AL137*0.05+AM137*0.1,3)</f>
        <v/>
      </c>
      <c r="AO137" s="6">
        <f>IFERROR(ROUND(AN137/(AC137+0.0001),3),"")</f>
        <v/>
      </c>
      <c r="AP137" s="6">
        <f>IFERROR(ROUND(AN137/(AB137/1000),3),"")</f>
        <v/>
      </c>
    </row>
    <row r="138">
      <c r="AN138" s="6">
        <f>ROUND(AK138*0.2+AJ138*0.2+AI138*0.2+AH138*0.15+AG138*0.1+AL138*0.05+AM138*0.1,3)</f>
        <v/>
      </c>
      <c r="AO138" s="6">
        <f>IFERROR(ROUND(AN138/(AC138+0.0001),3),"")</f>
        <v/>
      </c>
      <c r="AP138" s="6">
        <f>IFERROR(ROUND(AN138/(AB138/1000),3),"")</f>
        <v/>
      </c>
    </row>
    <row r="139">
      <c r="AN139" s="6">
        <f>ROUND(AK139*0.2+AJ139*0.2+AI139*0.2+AH139*0.15+AG139*0.1+AL139*0.05+AM139*0.1,3)</f>
        <v/>
      </c>
      <c r="AO139" s="6">
        <f>IFERROR(ROUND(AN139/(AC139+0.0001),3),"")</f>
        <v/>
      </c>
      <c r="AP139" s="6">
        <f>IFERROR(ROUND(AN139/(AB139/1000),3),"")</f>
        <v/>
      </c>
    </row>
    <row r="140">
      <c r="AN140" s="6">
        <f>ROUND(AK140*0.2+AJ140*0.2+AI140*0.2+AH140*0.15+AG140*0.1+AL140*0.05+AM140*0.1,3)</f>
        <v/>
      </c>
      <c r="AO140" s="6">
        <f>IFERROR(ROUND(AN140/(AC140+0.0001),3),"")</f>
        <v/>
      </c>
      <c r="AP140" s="6">
        <f>IFERROR(ROUND(AN140/(AB140/1000),3),"")</f>
        <v/>
      </c>
    </row>
    <row r="141">
      <c r="AN141" s="6">
        <f>ROUND(AK141*0.2+AJ141*0.2+AI141*0.2+AH141*0.15+AG141*0.1+AL141*0.05+AM141*0.1,3)</f>
        <v/>
      </c>
      <c r="AO141" s="6">
        <f>IFERROR(ROUND(AN141/(AC141+0.0001),3),"")</f>
        <v/>
      </c>
      <c r="AP141" s="6">
        <f>IFERROR(ROUND(AN141/(AB141/1000),3),"")</f>
        <v/>
      </c>
    </row>
    <row r="142">
      <c r="AN142" s="6">
        <f>ROUND(AK142*0.2+AJ142*0.2+AI142*0.2+AH142*0.15+AG142*0.1+AL142*0.05+AM142*0.1,3)</f>
        <v/>
      </c>
      <c r="AO142" s="6">
        <f>IFERROR(ROUND(AN142/(AC142+0.0001),3),"")</f>
        <v/>
      </c>
      <c r="AP142" s="6">
        <f>IFERROR(ROUND(AN142/(AB142/1000),3),"")</f>
        <v/>
      </c>
    </row>
    <row r="143">
      <c r="AN143" s="6">
        <f>ROUND(AK143*0.2+AJ143*0.2+AI143*0.2+AH143*0.15+AG143*0.1+AL143*0.05+AM143*0.1,3)</f>
        <v/>
      </c>
      <c r="AO143" s="6">
        <f>IFERROR(ROUND(AN143/(AC143+0.0001),3),"")</f>
        <v/>
      </c>
      <c r="AP143" s="6">
        <f>IFERROR(ROUND(AN143/(AB143/1000),3),"")</f>
        <v/>
      </c>
    </row>
    <row r="144">
      <c r="AN144" s="6">
        <f>ROUND(AK144*0.2+AJ144*0.2+AI144*0.2+AH144*0.15+AG144*0.1+AL144*0.05+AM144*0.1,3)</f>
        <v/>
      </c>
      <c r="AO144" s="6">
        <f>IFERROR(ROUND(AN144/(AC144+0.0001),3),"")</f>
        <v/>
      </c>
      <c r="AP144" s="6">
        <f>IFERROR(ROUND(AN144/(AB144/1000),3),"")</f>
        <v/>
      </c>
    </row>
    <row r="145">
      <c r="AN145" s="6">
        <f>ROUND(AK145*0.2+AJ145*0.2+AI145*0.2+AH145*0.15+AG145*0.1+AL145*0.05+AM145*0.1,3)</f>
        <v/>
      </c>
      <c r="AO145" s="6">
        <f>IFERROR(ROUND(AN145/(AC145+0.0001),3),"")</f>
        <v/>
      </c>
      <c r="AP145" s="6">
        <f>IFERROR(ROUND(AN145/(AB145/1000),3),"")</f>
        <v/>
      </c>
    </row>
    <row r="146">
      <c r="AN146" s="6">
        <f>ROUND(AK146*0.2+AJ146*0.2+AI146*0.2+AH146*0.15+AG146*0.1+AL146*0.05+AM146*0.1,3)</f>
        <v/>
      </c>
      <c r="AO146" s="6">
        <f>IFERROR(ROUND(AN146/(AC146+0.0001),3),"")</f>
        <v/>
      </c>
      <c r="AP146" s="6">
        <f>IFERROR(ROUND(AN146/(AB146/1000),3),"")</f>
        <v/>
      </c>
    </row>
    <row r="147">
      <c r="AN147" s="6">
        <f>ROUND(AK147*0.2+AJ147*0.2+AI147*0.2+AH147*0.15+AG147*0.1+AL147*0.05+AM147*0.1,3)</f>
        <v/>
      </c>
      <c r="AO147" s="6">
        <f>IFERROR(ROUND(AN147/(AC147+0.0001),3),"")</f>
        <v/>
      </c>
      <c r="AP147" s="6">
        <f>IFERROR(ROUND(AN147/(AB147/1000),3),"")</f>
        <v/>
      </c>
    </row>
    <row r="148">
      <c r="AN148" s="6">
        <f>ROUND(AK148*0.2+AJ148*0.2+AI148*0.2+AH148*0.15+AG148*0.1+AL148*0.05+AM148*0.1,3)</f>
        <v/>
      </c>
      <c r="AO148" s="6">
        <f>IFERROR(ROUND(AN148/(AC148+0.0001),3),"")</f>
        <v/>
      </c>
      <c r="AP148" s="6">
        <f>IFERROR(ROUND(AN148/(AB148/1000),3),"")</f>
        <v/>
      </c>
    </row>
    <row r="149">
      <c r="AN149" s="6">
        <f>ROUND(AK149*0.2+AJ149*0.2+AI149*0.2+AH149*0.15+AG149*0.1+AL149*0.05+AM149*0.1,3)</f>
        <v/>
      </c>
      <c r="AO149" s="6">
        <f>IFERROR(ROUND(AN149/(AC149+0.0001),3),"")</f>
        <v/>
      </c>
      <c r="AP149" s="6">
        <f>IFERROR(ROUND(AN149/(AB149/1000),3),"")</f>
        <v/>
      </c>
    </row>
    <row r="150">
      <c r="AN150" s="6">
        <f>ROUND(AK150*0.2+AJ150*0.2+AI150*0.2+AH150*0.15+AG150*0.1+AL150*0.05+AM150*0.1,3)</f>
        <v/>
      </c>
      <c r="AO150" s="6">
        <f>IFERROR(ROUND(AN150/(AC150+0.0001),3),"")</f>
        <v/>
      </c>
      <c r="AP150" s="6">
        <f>IFERROR(ROUND(AN150/(AB150/1000),3),"")</f>
        <v/>
      </c>
    </row>
    <row r="151">
      <c r="AN151" s="6">
        <f>ROUND(AK151*0.2+AJ151*0.2+AI151*0.2+AH151*0.15+AG151*0.1+AL151*0.05+AM151*0.1,3)</f>
        <v/>
      </c>
      <c r="AO151" s="6">
        <f>IFERROR(ROUND(AN151/(AC151+0.0001),3),"")</f>
        <v/>
      </c>
      <c r="AP151" s="6">
        <f>IFERROR(ROUND(AN151/(AB151/1000),3),"")</f>
        <v/>
      </c>
    </row>
    <row r="152">
      <c r="AN152" s="6">
        <f>ROUND(AK152*0.2+AJ152*0.2+AI152*0.2+AH152*0.15+AG152*0.1+AL152*0.05+AM152*0.1,3)</f>
        <v/>
      </c>
      <c r="AO152" s="6">
        <f>IFERROR(ROUND(AN152/(AC152+0.0001),3),"")</f>
        <v/>
      </c>
      <c r="AP152" s="6">
        <f>IFERROR(ROUND(AN152/(AB152/1000),3),"")</f>
        <v/>
      </c>
    </row>
    <row r="153">
      <c r="AN153" s="6">
        <f>ROUND(AK153*0.2+AJ153*0.2+AI153*0.2+AH153*0.15+AG153*0.1+AL153*0.05+AM153*0.1,3)</f>
        <v/>
      </c>
      <c r="AO153" s="6">
        <f>IFERROR(ROUND(AN153/(AC153+0.0001),3),"")</f>
        <v/>
      </c>
      <c r="AP153" s="6">
        <f>IFERROR(ROUND(AN153/(AB153/1000),3),"")</f>
        <v/>
      </c>
    </row>
    <row r="154">
      <c r="AN154" s="6">
        <f>ROUND(AK154*0.2+AJ154*0.2+AI154*0.2+AH154*0.15+AG154*0.1+AL154*0.05+AM154*0.1,3)</f>
        <v/>
      </c>
      <c r="AO154" s="6">
        <f>IFERROR(ROUND(AN154/(AC154+0.0001),3),"")</f>
        <v/>
      </c>
      <c r="AP154" s="6">
        <f>IFERROR(ROUND(AN154/(AB154/1000),3),"")</f>
        <v/>
      </c>
    </row>
    <row r="155">
      <c r="AN155" s="6">
        <f>ROUND(AK155*0.2+AJ155*0.2+AI155*0.2+AH155*0.15+AG155*0.1+AL155*0.05+AM155*0.1,3)</f>
        <v/>
      </c>
      <c r="AO155" s="6">
        <f>IFERROR(ROUND(AN155/(AC155+0.0001),3),"")</f>
        <v/>
      </c>
      <c r="AP155" s="6">
        <f>IFERROR(ROUND(AN155/(AB155/1000),3),"")</f>
        <v/>
      </c>
    </row>
    <row r="156">
      <c r="AN156" s="6">
        <f>ROUND(AK156*0.2+AJ156*0.2+AI156*0.2+AH156*0.15+AG156*0.1+AL156*0.05+AM156*0.1,3)</f>
        <v/>
      </c>
      <c r="AO156" s="6">
        <f>IFERROR(ROUND(AN156/(AC156+0.0001),3),"")</f>
        <v/>
      </c>
      <c r="AP156" s="6">
        <f>IFERROR(ROUND(AN156/(AB156/1000),3),"")</f>
        <v/>
      </c>
    </row>
    <row r="157">
      <c r="AN157" s="6">
        <f>ROUND(AK157*0.2+AJ157*0.2+AI157*0.2+AH157*0.15+AG157*0.1+AL157*0.05+AM157*0.1,3)</f>
        <v/>
      </c>
      <c r="AO157" s="6">
        <f>IFERROR(ROUND(AN157/(AC157+0.0001),3),"")</f>
        <v/>
      </c>
      <c r="AP157" s="6">
        <f>IFERROR(ROUND(AN157/(AB157/1000),3),"")</f>
        <v/>
      </c>
    </row>
    <row r="158">
      <c r="AN158" s="6">
        <f>ROUND(AK158*0.2+AJ158*0.2+AI158*0.2+AH158*0.15+AG158*0.1+AL158*0.05+AM158*0.1,3)</f>
        <v/>
      </c>
      <c r="AO158" s="6">
        <f>IFERROR(ROUND(AN158/(AC158+0.0001),3),"")</f>
        <v/>
      </c>
      <c r="AP158" s="6">
        <f>IFERROR(ROUND(AN158/(AB158/1000),3),"")</f>
        <v/>
      </c>
    </row>
    <row r="159">
      <c r="AN159" s="6">
        <f>ROUND(AK159*0.2+AJ159*0.2+AI159*0.2+AH159*0.15+AG159*0.1+AL159*0.05+AM159*0.1,3)</f>
        <v/>
      </c>
      <c r="AO159" s="6">
        <f>IFERROR(ROUND(AN159/(AC159+0.0001),3),"")</f>
        <v/>
      </c>
      <c r="AP159" s="6">
        <f>IFERROR(ROUND(AN159/(AB159/1000),3),"")</f>
        <v/>
      </c>
    </row>
    <row r="160">
      <c r="AN160" s="6">
        <f>ROUND(AK160*0.2+AJ160*0.2+AI160*0.2+AH160*0.15+AG160*0.1+AL160*0.05+AM160*0.1,3)</f>
        <v/>
      </c>
      <c r="AO160" s="6">
        <f>IFERROR(ROUND(AN160/(AC160+0.0001),3),"")</f>
        <v/>
      </c>
      <c r="AP160" s="6">
        <f>IFERROR(ROUND(AN160/(AB160/1000),3),"")</f>
        <v/>
      </c>
    </row>
    <row r="161">
      <c r="AN161" s="6">
        <f>ROUND(AK161*0.2+AJ161*0.2+AI161*0.2+AH161*0.15+AG161*0.1+AL161*0.05+AM161*0.1,3)</f>
        <v/>
      </c>
      <c r="AO161" s="6">
        <f>IFERROR(ROUND(AN161/(AC161+0.0001),3),"")</f>
        <v/>
      </c>
      <c r="AP161" s="6">
        <f>IFERROR(ROUND(AN161/(AB161/1000),3),"")</f>
        <v/>
      </c>
    </row>
    <row r="162">
      <c r="AN162" s="6">
        <f>ROUND(AK162*0.2+AJ162*0.2+AI162*0.2+AH162*0.15+AG162*0.1+AL162*0.05+AM162*0.1,3)</f>
        <v/>
      </c>
      <c r="AO162" s="6">
        <f>IFERROR(ROUND(AN162/(AC162+0.0001),3),"")</f>
        <v/>
      </c>
      <c r="AP162" s="6">
        <f>IFERROR(ROUND(AN162/(AB162/1000),3),"")</f>
        <v/>
      </c>
    </row>
    <row r="163">
      <c r="AN163" s="6">
        <f>ROUND(AK163*0.2+AJ163*0.2+AI163*0.2+AH163*0.15+AG163*0.1+AL163*0.05+AM163*0.1,3)</f>
        <v/>
      </c>
      <c r="AO163" s="6">
        <f>IFERROR(ROUND(AN163/(AC163+0.0001),3),"")</f>
        <v/>
      </c>
      <c r="AP163" s="6">
        <f>IFERROR(ROUND(AN163/(AB163/1000),3),"")</f>
        <v/>
      </c>
    </row>
    <row r="164">
      <c r="AN164" s="6">
        <f>ROUND(AK164*0.2+AJ164*0.2+AI164*0.2+AH164*0.15+AG164*0.1+AL164*0.05+AM164*0.1,3)</f>
        <v/>
      </c>
      <c r="AO164" s="6">
        <f>IFERROR(ROUND(AN164/(AC164+0.0001),3),"")</f>
        <v/>
      </c>
      <c r="AP164" s="6">
        <f>IFERROR(ROUND(AN164/(AB164/1000),3),"")</f>
        <v/>
      </c>
    </row>
    <row r="165">
      <c r="AN165" s="6">
        <f>ROUND(AK165*0.2+AJ165*0.2+AI165*0.2+AH165*0.15+AG165*0.1+AL165*0.05+AM165*0.1,3)</f>
        <v/>
      </c>
      <c r="AO165" s="6">
        <f>IFERROR(ROUND(AN165/(AC165+0.0001),3),"")</f>
        <v/>
      </c>
      <c r="AP165" s="6">
        <f>IFERROR(ROUND(AN165/(AB165/1000),3),"")</f>
        <v/>
      </c>
    </row>
    <row r="166">
      <c r="AN166" s="6">
        <f>ROUND(AK166*0.2+AJ166*0.2+AI166*0.2+AH166*0.15+AG166*0.1+AL166*0.05+AM166*0.1,3)</f>
        <v/>
      </c>
      <c r="AO166" s="6">
        <f>IFERROR(ROUND(AN166/(AC166+0.0001),3),"")</f>
        <v/>
      </c>
      <c r="AP166" s="6">
        <f>IFERROR(ROUND(AN166/(AB166/1000),3),"")</f>
        <v/>
      </c>
    </row>
    <row r="167">
      <c r="AN167" s="6">
        <f>ROUND(AK167*0.2+AJ167*0.2+AI167*0.2+AH167*0.15+AG167*0.1+AL167*0.05+AM167*0.1,3)</f>
        <v/>
      </c>
      <c r="AO167" s="6">
        <f>IFERROR(ROUND(AN167/(AC167+0.0001),3),"")</f>
        <v/>
      </c>
      <c r="AP167" s="6">
        <f>IFERROR(ROUND(AN167/(AB167/1000),3),"")</f>
        <v/>
      </c>
    </row>
    <row r="168">
      <c r="AN168" s="6">
        <f>ROUND(AK168*0.2+AJ168*0.2+AI168*0.2+AH168*0.15+AG168*0.1+AL168*0.05+AM168*0.1,3)</f>
        <v/>
      </c>
      <c r="AO168" s="6">
        <f>IFERROR(ROUND(AN168/(AC168+0.0001),3),"")</f>
        <v/>
      </c>
      <c r="AP168" s="6">
        <f>IFERROR(ROUND(AN168/(AB168/1000),3),"")</f>
        <v/>
      </c>
    </row>
    <row r="169">
      <c r="AN169" s="6">
        <f>ROUND(AK169*0.2+AJ169*0.2+AI169*0.2+AH169*0.15+AG169*0.1+AL169*0.05+AM169*0.1,3)</f>
        <v/>
      </c>
      <c r="AO169" s="6">
        <f>IFERROR(ROUND(AN169/(AC169+0.0001),3),"")</f>
        <v/>
      </c>
      <c r="AP169" s="6">
        <f>IFERROR(ROUND(AN169/(AB169/1000),3),"")</f>
        <v/>
      </c>
    </row>
    <row r="170">
      <c r="AN170" s="6">
        <f>ROUND(AK170*0.2+AJ170*0.2+AI170*0.2+AH170*0.15+AG170*0.1+AL170*0.05+AM170*0.1,3)</f>
        <v/>
      </c>
      <c r="AO170" s="6">
        <f>IFERROR(ROUND(AN170/(AC170+0.0001),3),"")</f>
        <v/>
      </c>
      <c r="AP170" s="6">
        <f>IFERROR(ROUND(AN170/(AB170/1000),3),"")</f>
        <v/>
      </c>
    </row>
    <row r="171">
      <c r="AN171" s="6">
        <f>ROUND(AK171*0.2+AJ171*0.2+AI171*0.2+AH171*0.15+AG171*0.1+AL171*0.05+AM171*0.1,3)</f>
        <v/>
      </c>
      <c r="AO171" s="6">
        <f>IFERROR(ROUND(AN171/(AC171+0.0001),3),"")</f>
        <v/>
      </c>
      <c r="AP171" s="6">
        <f>IFERROR(ROUND(AN171/(AB171/1000),3),"")</f>
        <v/>
      </c>
    </row>
    <row r="172">
      <c r="AN172" s="6">
        <f>ROUND(AK172*0.2+AJ172*0.2+AI172*0.2+AH172*0.15+AG172*0.1+AL172*0.05+AM172*0.1,3)</f>
        <v/>
      </c>
      <c r="AO172" s="6">
        <f>IFERROR(ROUND(AN172/(AC172+0.0001),3),"")</f>
        <v/>
      </c>
      <c r="AP172" s="6">
        <f>IFERROR(ROUND(AN172/(AB172/1000),3),"")</f>
        <v/>
      </c>
    </row>
    <row r="173">
      <c r="AN173" s="6">
        <f>ROUND(AK173*0.2+AJ173*0.2+AI173*0.2+AH173*0.15+AG173*0.1+AL173*0.05+AM173*0.1,3)</f>
        <v/>
      </c>
      <c r="AO173" s="6">
        <f>IFERROR(ROUND(AN173/(AC173+0.0001),3),"")</f>
        <v/>
      </c>
      <c r="AP173" s="6">
        <f>IFERROR(ROUND(AN173/(AB173/1000),3),"")</f>
        <v/>
      </c>
    </row>
    <row r="174">
      <c r="AN174" s="6">
        <f>ROUND(AK174*0.2+AJ174*0.2+AI174*0.2+AH174*0.15+AG174*0.1+AL174*0.05+AM174*0.1,3)</f>
        <v/>
      </c>
      <c r="AO174" s="6">
        <f>IFERROR(ROUND(AN174/(AC174+0.0001),3),"")</f>
        <v/>
      </c>
      <c r="AP174" s="6">
        <f>IFERROR(ROUND(AN174/(AB174/1000),3),"")</f>
        <v/>
      </c>
    </row>
    <row r="175">
      <c r="AN175" s="6">
        <f>ROUND(AK175*0.2+AJ175*0.2+AI175*0.2+AH175*0.15+AG175*0.1+AL175*0.05+AM175*0.1,3)</f>
        <v/>
      </c>
      <c r="AO175" s="6">
        <f>IFERROR(ROUND(AN175/(AC175+0.0001),3),"")</f>
        <v/>
      </c>
      <c r="AP175" s="6">
        <f>IFERROR(ROUND(AN175/(AB175/1000),3),"")</f>
        <v/>
      </c>
    </row>
    <row r="176">
      <c r="AN176" s="6">
        <f>ROUND(AK176*0.2+AJ176*0.2+AI176*0.2+AH176*0.15+AG176*0.1+AL176*0.05+AM176*0.1,3)</f>
        <v/>
      </c>
      <c r="AO176" s="6">
        <f>IFERROR(ROUND(AN176/(AC176+0.0001),3),"")</f>
        <v/>
      </c>
      <c r="AP176" s="6">
        <f>IFERROR(ROUND(AN176/(AB176/1000),3),"")</f>
        <v/>
      </c>
    </row>
    <row r="177">
      <c r="AN177" s="6">
        <f>ROUND(AK177*0.2+AJ177*0.2+AI177*0.2+AH177*0.15+AG177*0.1+AL177*0.05+AM177*0.1,3)</f>
        <v/>
      </c>
      <c r="AO177" s="6">
        <f>IFERROR(ROUND(AN177/(AC177+0.0001),3),"")</f>
        <v/>
      </c>
      <c r="AP177" s="6">
        <f>IFERROR(ROUND(AN177/(AB177/1000),3),"")</f>
        <v/>
      </c>
    </row>
    <row r="178">
      <c r="AN178" s="6">
        <f>ROUND(AK178*0.2+AJ178*0.2+AI178*0.2+AH178*0.15+AG178*0.1+AL178*0.05+AM178*0.1,3)</f>
        <v/>
      </c>
      <c r="AO178" s="6">
        <f>IFERROR(ROUND(AN178/(AC178+0.0001),3),"")</f>
        <v/>
      </c>
      <c r="AP178" s="6">
        <f>IFERROR(ROUND(AN178/(AB178/1000),3),"")</f>
        <v/>
      </c>
    </row>
    <row r="179">
      <c r="AN179" s="6">
        <f>ROUND(AK179*0.2+AJ179*0.2+AI179*0.2+AH179*0.15+AG179*0.1+AL179*0.05+AM179*0.1,3)</f>
        <v/>
      </c>
      <c r="AO179" s="6">
        <f>IFERROR(ROUND(AN179/(AC179+0.0001),3),"")</f>
        <v/>
      </c>
      <c r="AP179" s="6">
        <f>IFERROR(ROUND(AN179/(AB179/1000),3),"")</f>
        <v/>
      </c>
    </row>
    <row r="180">
      <c r="AN180" s="6">
        <f>ROUND(AK180*0.2+AJ180*0.2+AI180*0.2+AH180*0.15+AG180*0.1+AL180*0.05+AM180*0.1,3)</f>
        <v/>
      </c>
      <c r="AO180" s="6">
        <f>IFERROR(ROUND(AN180/(AC180+0.0001),3),"")</f>
        <v/>
      </c>
      <c r="AP180" s="6">
        <f>IFERROR(ROUND(AN180/(AB180/1000),3),"")</f>
        <v/>
      </c>
    </row>
    <row r="181">
      <c r="AN181" s="6">
        <f>ROUND(AK181*0.2+AJ181*0.2+AI181*0.2+AH181*0.15+AG181*0.1+AL181*0.05+AM181*0.1,3)</f>
        <v/>
      </c>
      <c r="AO181" s="6">
        <f>IFERROR(ROUND(AN181/(AC181+0.0001),3),"")</f>
        <v/>
      </c>
      <c r="AP181" s="6">
        <f>IFERROR(ROUND(AN181/(AB181/1000),3),"")</f>
        <v/>
      </c>
    </row>
    <row r="182">
      <c r="AN182" s="6">
        <f>ROUND(AK182*0.2+AJ182*0.2+AI182*0.2+AH182*0.15+AG182*0.1+AL182*0.05+AM182*0.1,3)</f>
        <v/>
      </c>
      <c r="AO182" s="6">
        <f>IFERROR(ROUND(AN182/(AC182+0.0001),3),"")</f>
        <v/>
      </c>
      <c r="AP182" s="6">
        <f>IFERROR(ROUND(AN182/(AB182/1000),3),"")</f>
        <v/>
      </c>
    </row>
    <row r="183">
      <c r="AN183" s="6">
        <f>ROUND(AK183*0.2+AJ183*0.2+AI183*0.2+AH183*0.15+AG183*0.1+AL183*0.05+AM183*0.1,3)</f>
        <v/>
      </c>
      <c r="AO183" s="6">
        <f>IFERROR(ROUND(AN183/(AC183+0.0001),3),"")</f>
        <v/>
      </c>
      <c r="AP183" s="6">
        <f>IFERROR(ROUND(AN183/(AB183/1000),3),"")</f>
        <v/>
      </c>
    </row>
    <row r="184">
      <c r="AN184" s="6">
        <f>ROUND(AK184*0.2+AJ184*0.2+AI184*0.2+AH184*0.15+AG184*0.1+AL184*0.05+AM184*0.1,3)</f>
        <v/>
      </c>
      <c r="AO184" s="6">
        <f>IFERROR(ROUND(AN184/(AC184+0.0001),3),"")</f>
        <v/>
      </c>
      <c r="AP184" s="6">
        <f>IFERROR(ROUND(AN184/(AB184/1000),3),"")</f>
        <v/>
      </c>
    </row>
    <row r="185">
      <c r="AN185" s="6">
        <f>ROUND(AK185*0.2+AJ185*0.2+AI185*0.2+AH185*0.15+AG185*0.1+AL185*0.05+AM185*0.1,3)</f>
        <v/>
      </c>
      <c r="AO185" s="6">
        <f>IFERROR(ROUND(AN185/(AC185+0.0001),3),"")</f>
        <v/>
      </c>
      <c r="AP185" s="6">
        <f>IFERROR(ROUND(AN185/(AB185/1000),3),"")</f>
        <v/>
      </c>
    </row>
    <row r="186">
      <c r="AN186" s="6">
        <f>ROUND(AK186*0.2+AJ186*0.2+AI186*0.2+AH186*0.15+AG186*0.1+AL186*0.05+AM186*0.1,3)</f>
        <v/>
      </c>
      <c r="AO186" s="6">
        <f>IFERROR(ROUND(AN186/(AC186+0.0001),3),"")</f>
        <v/>
      </c>
      <c r="AP186" s="6">
        <f>IFERROR(ROUND(AN186/(AB186/1000),3),"")</f>
        <v/>
      </c>
    </row>
    <row r="187">
      <c r="AN187" s="6">
        <f>ROUND(AK187*0.2+AJ187*0.2+AI187*0.2+AH187*0.15+AG187*0.1+AL187*0.05+AM187*0.1,3)</f>
        <v/>
      </c>
      <c r="AO187" s="6">
        <f>IFERROR(ROUND(AN187/(AC187+0.0001),3),"")</f>
        <v/>
      </c>
      <c r="AP187" s="6">
        <f>IFERROR(ROUND(AN187/(AB187/1000),3),"")</f>
        <v/>
      </c>
    </row>
    <row r="188">
      <c r="AN188" s="6">
        <f>ROUND(AK188*0.2+AJ188*0.2+AI188*0.2+AH188*0.15+AG188*0.1+AL188*0.05+AM188*0.1,3)</f>
        <v/>
      </c>
      <c r="AO188" s="6">
        <f>IFERROR(ROUND(AN188/(AC188+0.0001),3),"")</f>
        <v/>
      </c>
      <c r="AP188" s="6">
        <f>IFERROR(ROUND(AN188/(AB188/1000),3),"")</f>
        <v/>
      </c>
    </row>
    <row r="189">
      <c r="AN189" s="6">
        <f>ROUND(AK189*0.2+AJ189*0.2+AI189*0.2+AH189*0.15+AG189*0.1+AL189*0.05+AM189*0.1,3)</f>
        <v/>
      </c>
      <c r="AO189" s="6">
        <f>IFERROR(ROUND(AN189/(AC189+0.0001),3),"")</f>
        <v/>
      </c>
      <c r="AP189" s="6">
        <f>IFERROR(ROUND(AN189/(AB189/1000),3),"")</f>
        <v/>
      </c>
    </row>
    <row r="190">
      <c r="AN190" s="6">
        <f>ROUND(AK190*0.2+AJ190*0.2+AI190*0.2+AH190*0.15+AG190*0.1+AL190*0.05+AM190*0.1,3)</f>
        <v/>
      </c>
      <c r="AO190" s="6">
        <f>IFERROR(ROUND(AN190/(AC190+0.0001),3),"")</f>
        <v/>
      </c>
      <c r="AP190" s="6">
        <f>IFERROR(ROUND(AN190/(AB190/1000),3),"")</f>
        <v/>
      </c>
    </row>
    <row r="191">
      <c r="AN191" s="6">
        <f>ROUND(AK191*0.2+AJ191*0.2+AI191*0.2+AH191*0.15+AG191*0.1+AL191*0.05+AM191*0.1,3)</f>
        <v/>
      </c>
      <c r="AO191" s="6">
        <f>IFERROR(ROUND(AN191/(AC191+0.0001),3),"")</f>
        <v/>
      </c>
      <c r="AP191" s="6">
        <f>IFERROR(ROUND(AN191/(AB191/1000),3),"")</f>
        <v/>
      </c>
    </row>
    <row r="192">
      <c r="AN192" s="6">
        <f>ROUND(AK192*0.2+AJ192*0.2+AI192*0.2+AH192*0.15+AG192*0.1+AL192*0.05+AM192*0.1,3)</f>
        <v/>
      </c>
      <c r="AO192" s="6">
        <f>IFERROR(ROUND(AN192/(AC192+0.0001),3),"")</f>
        <v/>
      </c>
      <c r="AP192" s="6">
        <f>IFERROR(ROUND(AN192/(AB192/1000),3),"")</f>
        <v/>
      </c>
    </row>
    <row r="193">
      <c r="AN193" s="6">
        <f>ROUND(AK193*0.2+AJ193*0.2+AI193*0.2+AH193*0.15+AG193*0.1+AL193*0.05+AM193*0.1,3)</f>
        <v/>
      </c>
      <c r="AO193" s="6">
        <f>IFERROR(ROUND(AN193/(AC193+0.0001),3),"")</f>
        <v/>
      </c>
      <c r="AP193" s="6">
        <f>IFERROR(ROUND(AN193/(AB193/1000),3),"")</f>
        <v/>
      </c>
    </row>
    <row r="194">
      <c r="AN194" s="6">
        <f>ROUND(AK194*0.2+AJ194*0.2+AI194*0.2+AH194*0.15+AG194*0.1+AL194*0.05+AM194*0.1,3)</f>
        <v/>
      </c>
      <c r="AO194" s="6">
        <f>IFERROR(ROUND(AN194/(AC194+0.0001),3),"")</f>
        <v/>
      </c>
      <c r="AP194" s="6">
        <f>IFERROR(ROUND(AN194/(AB194/1000),3),"")</f>
        <v/>
      </c>
    </row>
    <row r="195">
      <c r="AN195" s="6">
        <f>ROUND(AK195*0.2+AJ195*0.2+AI195*0.2+AH195*0.15+AG195*0.1+AL195*0.05+AM195*0.1,3)</f>
        <v/>
      </c>
      <c r="AO195" s="6">
        <f>IFERROR(ROUND(AN195/(AC195+0.0001),3),"")</f>
        <v/>
      </c>
      <c r="AP195" s="6">
        <f>IFERROR(ROUND(AN195/(AB195/1000),3),"")</f>
        <v/>
      </c>
    </row>
    <row r="196">
      <c r="AN196" s="6">
        <f>ROUND(AK196*0.2+AJ196*0.2+AI196*0.2+AH196*0.15+AG196*0.1+AL196*0.05+AM196*0.1,3)</f>
        <v/>
      </c>
      <c r="AO196" s="6">
        <f>IFERROR(ROUND(AN196/(AC196+0.0001),3),"")</f>
        <v/>
      </c>
      <c r="AP196" s="6">
        <f>IFERROR(ROUND(AN196/(AB196/1000),3),"")</f>
        <v/>
      </c>
    </row>
    <row r="197">
      <c r="AN197" s="6">
        <f>ROUND(AK197*0.2+AJ197*0.2+AI197*0.2+AH197*0.15+AG197*0.1+AL197*0.05+AM197*0.1,3)</f>
        <v/>
      </c>
      <c r="AO197" s="6">
        <f>IFERROR(ROUND(AN197/(AC197+0.0001),3),"")</f>
        <v/>
      </c>
      <c r="AP197" s="6">
        <f>IFERROR(ROUND(AN197/(AB197/1000),3),"")</f>
        <v/>
      </c>
    </row>
    <row r="198">
      <c r="AN198" s="6">
        <f>ROUND(AK198*0.2+AJ198*0.2+AI198*0.2+AH198*0.15+AG198*0.1+AL198*0.05+AM198*0.1,3)</f>
        <v/>
      </c>
      <c r="AO198" s="6">
        <f>IFERROR(ROUND(AN198/(AC198+0.0001),3),"")</f>
        <v/>
      </c>
      <c r="AP198" s="6">
        <f>IFERROR(ROUND(AN198/(AB198/1000),3),"")</f>
        <v/>
      </c>
    </row>
    <row r="199">
      <c r="AN199" s="6">
        <f>ROUND(AK199*0.2+AJ199*0.2+AI199*0.2+AH199*0.15+AG199*0.1+AL199*0.05+AM199*0.1,3)</f>
        <v/>
      </c>
      <c r="AO199" s="6">
        <f>IFERROR(ROUND(AN199/(AC199+0.0001),3),"")</f>
        <v/>
      </c>
      <c r="AP199" s="6">
        <f>IFERROR(ROUND(AN199/(AB199/1000),3),"")</f>
        <v/>
      </c>
    </row>
    <row r="200">
      <c r="AN200" s="6">
        <f>ROUND(AK200*0.2+AJ200*0.2+AI200*0.2+AH200*0.15+AG200*0.1+AL200*0.05+AM200*0.1,3)</f>
        <v/>
      </c>
      <c r="AO200" s="6">
        <f>IFERROR(ROUND(AN200/(AC200+0.0001),3),"")</f>
        <v/>
      </c>
      <c r="AP200" s="6">
        <f>IFERROR(ROUND(AN200/(AB200/1000),3),"")</f>
        <v/>
      </c>
    </row>
    <row r="201">
      <c r="AN201" s="6">
        <f>ROUND(AK201*0.2+AJ201*0.2+AI201*0.2+AH201*0.15+AG201*0.1+AL201*0.05+AM201*0.1,3)</f>
        <v/>
      </c>
      <c r="AO201" s="6">
        <f>IFERROR(ROUND(AN201/(AC201+0.0001),3),"")</f>
        <v/>
      </c>
      <c r="AP201" s="6">
        <f>IFERROR(ROUND(AN201/(AB201/1000),3),"")</f>
        <v/>
      </c>
    </row>
    <row r="202">
      <c r="AN202" s="6">
        <f>ROUND(AK202*0.2+AJ202*0.2+AI202*0.2+AH202*0.15+AG202*0.1+AL202*0.05+AM202*0.1,3)</f>
        <v/>
      </c>
      <c r="AO202" s="6">
        <f>IFERROR(ROUND(AN202/(AC202+0.0001),3),"")</f>
        <v/>
      </c>
      <c r="AP202" s="6">
        <f>IFERROR(ROUND(AN202/(AB202/1000),3),"")</f>
        <v/>
      </c>
    </row>
    <row r="203">
      <c r="AN203" s="6">
        <f>ROUND(AK203*0.2+AJ203*0.2+AI203*0.2+AH203*0.15+AG203*0.1+AL203*0.05+AM203*0.1,3)</f>
        <v/>
      </c>
      <c r="AO203" s="6">
        <f>IFERROR(ROUND(AN203/(AC203+0.0001),3),"")</f>
        <v/>
      </c>
      <c r="AP203" s="6">
        <f>IFERROR(ROUND(AN203/(AB203/1000),3),"")</f>
        <v/>
      </c>
    </row>
    <row r="204">
      <c r="AN204" s="6">
        <f>ROUND(AK204*0.2+AJ204*0.2+AI204*0.2+AH204*0.15+AG204*0.1+AL204*0.05+AM204*0.1,3)</f>
        <v/>
      </c>
      <c r="AO204" s="6">
        <f>IFERROR(ROUND(AN204/(AC204+0.0001),3),"")</f>
        <v/>
      </c>
      <c r="AP204" s="6">
        <f>IFERROR(ROUND(AN204/(AB204/1000),3),"")</f>
        <v/>
      </c>
    </row>
    <row r="205">
      <c r="AN205" s="6">
        <f>ROUND(AK205*0.2+AJ205*0.2+AI205*0.2+AH205*0.15+AG205*0.1+AL205*0.05+AM205*0.1,3)</f>
        <v/>
      </c>
      <c r="AO205" s="6">
        <f>IFERROR(ROUND(AN205/(AC205+0.0001),3),"")</f>
        <v/>
      </c>
      <c r="AP205" s="6">
        <f>IFERROR(ROUND(AN205/(AB205/1000),3),"")</f>
        <v/>
      </c>
    </row>
    <row r="206">
      <c r="AN206" s="6">
        <f>ROUND(AK206*0.2+AJ206*0.2+AI206*0.2+AH206*0.15+AG206*0.1+AL206*0.05+AM206*0.1,3)</f>
        <v/>
      </c>
      <c r="AO206" s="6">
        <f>IFERROR(ROUND(AN206/(AC206+0.0001),3),"")</f>
        <v/>
      </c>
      <c r="AP206" s="6">
        <f>IFERROR(ROUND(AN206/(AB206/1000),3),"")</f>
        <v/>
      </c>
    </row>
    <row r="207">
      <c r="AN207" s="6">
        <f>ROUND(AK207*0.2+AJ207*0.2+AI207*0.2+AH207*0.15+AG207*0.1+AL207*0.05+AM207*0.1,3)</f>
        <v/>
      </c>
      <c r="AO207" s="6">
        <f>IFERROR(ROUND(AN207/(AC207+0.0001),3),"")</f>
        <v/>
      </c>
      <c r="AP207" s="6">
        <f>IFERROR(ROUND(AN207/(AB207/1000),3),"")</f>
        <v/>
      </c>
    </row>
    <row r="208">
      <c r="AN208" s="6">
        <f>ROUND(AK208*0.2+AJ208*0.2+AI208*0.2+AH208*0.15+AG208*0.1+AL208*0.05+AM208*0.1,3)</f>
        <v/>
      </c>
      <c r="AO208" s="6">
        <f>IFERROR(ROUND(AN208/(AC208+0.0001),3),"")</f>
        <v/>
      </c>
      <c r="AP208" s="6">
        <f>IFERROR(ROUND(AN208/(AB208/1000),3),"")</f>
        <v/>
      </c>
    </row>
    <row r="209">
      <c r="AN209" s="6">
        <f>ROUND(AK209*0.2+AJ209*0.2+AI209*0.2+AH209*0.15+AG209*0.1+AL209*0.05+AM209*0.1,3)</f>
        <v/>
      </c>
      <c r="AO209" s="6">
        <f>IFERROR(ROUND(AN209/(AC209+0.0001),3),"")</f>
        <v/>
      </c>
      <c r="AP209" s="6">
        <f>IFERROR(ROUND(AN209/(AB209/1000),3),"")</f>
        <v/>
      </c>
    </row>
    <row r="210">
      <c r="AN210" s="6">
        <f>ROUND(AK210*0.2+AJ210*0.2+AI210*0.2+AH210*0.15+AG210*0.1+AL210*0.05+AM210*0.1,3)</f>
        <v/>
      </c>
      <c r="AO210" s="6">
        <f>IFERROR(ROUND(AN210/(AC210+0.0001),3),"")</f>
        <v/>
      </c>
      <c r="AP210" s="6">
        <f>IFERROR(ROUND(AN210/(AB210/1000),3),"")</f>
        <v/>
      </c>
    </row>
    <row r="211">
      <c r="AN211" s="6">
        <f>ROUND(AK211*0.2+AJ211*0.2+AI211*0.2+AH211*0.15+AG211*0.1+AL211*0.05+AM211*0.1,3)</f>
        <v/>
      </c>
      <c r="AO211" s="6">
        <f>IFERROR(ROUND(AN211/(AC211+0.0001),3),"")</f>
        <v/>
      </c>
      <c r="AP211" s="6">
        <f>IFERROR(ROUND(AN211/(AB211/1000),3),"")</f>
        <v/>
      </c>
    </row>
    <row r="212">
      <c r="AN212" s="6">
        <f>ROUND(AK212*0.2+AJ212*0.2+AI212*0.2+AH212*0.15+AG212*0.1+AL212*0.05+AM212*0.1,3)</f>
        <v/>
      </c>
      <c r="AO212" s="6">
        <f>IFERROR(ROUND(AN212/(AC212+0.0001),3),"")</f>
        <v/>
      </c>
      <c r="AP212" s="6">
        <f>IFERROR(ROUND(AN212/(AB212/1000),3),"")</f>
        <v/>
      </c>
    </row>
    <row r="213">
      <c r="AN213" s="6">
        <f>ROUND(AK213*0.2+AJ213*0.2+AI213*0.2+AH213*0.15+AG213*0.1+AL213*0.05+AM213*0.1,3)</f>
        <v/>
      </c>
      <c r="AO213" s="6">
        <f>IFERROR(ROUND(AN213/(AC213+0.0001),3),"")</f>
        <v/>
      </c>
      <c r="AP213" s="6">
        <f>IFERROR(ROUND(AN213/(AB213/1000),3),"")</f>
        <v/>
      </c>
    </row>
    <row r="214">
      <c r="AN214" s="6">
        <f>ROUND(AK214*0.2+AJ214*0.2+AI214*0.2+AH214*0.15+AG214*0.1+AL214*0.05+AM214*0.1,3)</f>
        <v/>
      </c>
      <c r="AO214" s="6">
        <f>IFERROR(ROUND(AN214/(AC214+0.0001),3),"")</f>
        <v/>
      </c>
      <c r="AP214" s="6">
        <f>IFERROR(ROUND(AN214/(AB214/1000),3),"")</f>
        <v/>
      </c>
    </row>
    <row r="215">
      <c r="AN215" s="6">
        <f>ROUND(AK215*0.2+AJ215*0.2+AI215*0.2+AH215*0.15+AG215*0.1+AL215*0.05+AM215*0.1,3)</f>
        <v/>
      </c>
      <c r="AO215" s="6">
        <f>IFERROR(ROUND(AN215/(AC215+0.0001),3),"")</f>
        <v/>
      </c>
      <c r="AP215" s="6">
        <f>IFERROR(ROUND(AN215/(AB215/1000),3),"")</f>
        <v/>
      </c>
    </row>
    <row r="216">
      <c r="AN216" s="6">
        <f>ROUND(AK216*0.2+AJ216*0.2+AI216*0.2+AH216*0.15+AG216*0.1+AL216*0.05+AM216*0.1,3)</f>
        <v/>
      </c>
      <c r="AO216" s="6">
        <f>IFERROR(ROUND(AN216/(AC216+0.0001),3),"")</f>
        <v/>
      </c>
      <c r="AP216" s="6">
        <f>IFERROR(ROUND(AN216/(AB216/1000),3),"")</f>
        <v/>
      </c>
    </row>
    <row r="217">
      <c r="AN217" s="6">
        <f>ROUND(AK217*0.2+AJ217*0.2+AI217*0.2+AH217*0.15+AG217*0.1+AL217*0.05+AM217*0.1,3)</f>
        <v/>
      </c>
      <c r="AO217" s="6">
        <f>IFERROR(ROUND(AN217/(AC217+0.0001),3),"")</f>
        <v/>
      </c>
      <c r="AP217" s="6">
        <f>IFERROR(ROUND(AN217/(AB217/1000),3),"")</f>
        <v/>
      </c>
    </row>
    <row r="218">
      <c r="AN218" s="6">
        <f>ROUND(AK218*0.2+AJ218*0.2+AI218*0.2+AH218*0.15+AG218*0.1+AL218*0.05+AM218*0.1,3)</f>
        <v/>
      </c>
      <c r="AO218" s="6">
        <f>IFERROR(ROUND(AN218/(AC218+0.0001),3),"")</f>
        <v/>
      </c>
      <c r="AP218" s="6">
        <f>IFERROR(ROUND(AN218/(AB218/1000),3),"")</f>
        <v/>
      </c>
    </row>
    <row r="219">
      <c r="AN219" s="6">
        <f>ROUND(AK219*0.2+AJ219*0.2+AI219*0.2+AH219*0.15+AG219*0.1+AL219*0.05+AM219*0.1,3)</f>
        <v/>
      </c>
      <c r="AO219" s="6">
        <f>IFERROR(ROUND(AN219/(AC219+0.0001),3),"")</f>
        <v/>
      </c>
      <c r="AP219" s="6">
        <f>IFERROR(ROUND(AN219/(AB219/1000),3),"")</f>
        <v/>
      </c>
    </row>
    <row r="220">
      <c r="AN220" s="6">
        <f>ROUND(AK220*0.2+AJ220*0.2+AI220*0.2+AH220*0.15+AG220*0.1+AL220*0.05+AM220*0.1,3)</f>
        <v/>
      </c>
      <c r="AO220" s="6">
        <f>IFERROR(ROUND(AN220/(AC220+0.0001),3),"")</f>
        <v/>
      </c>
      <c r="AP220" s="6">
        <f>IFERROR(ROUND(AN220/(AB220/1000),3),"")</f>
        <v/>
      </c>
    </row>
    <row r="221">
      <c r="AN221" s="6">
        <f>ROUND(AK221*0.2+AJ221*0.2+AI221*0.2+AH221*0.15+AG221*0.1+AL221*0.05+AM221*0.1,3)</f>
        <v/>
      </c>
      <c r="AO221" s="6">
        <f>IFERROR(ROUND(AN221/(AC221+0.0001),3),"")</f>
        <v/>
      </c>
      <c r="AP221" s="6">
        <f>IFERROR(ROUND(AN221/(AB221/1000),3),"")</f>
        <v/>
      </c>
    </row>
    <row r="222">
      <c r="AN222" s="6">
        <f>ROUND(AK222*0.2+AJ222*0.2+AI222*0.2+AH222*0.15+AG222*0.1+AL222*0.05+AM222*0.1,3)</f>
        <v/>
      </c>
      <c r="AO222" s="6">
        <f>IFERROR(ROUND(AN222/(AC222+0.0001),3),"")</f>
        <v/>
      </c>
      <c r="AP222" s="6">
        <f>IFERROR(ROUND(AN222/(AB222/1000),3),"")</f>
        <v/>
      </c>
    </row>
    <row r="223">
      <c r="AN223" s="6">
        <f>ROUND(AK223*0.2+AJ223*0.2+AI223*0.2+AH223*0.15+AG223*0.1+AL223*0.05+AM223*0.1,3)</f>
        <v/>
      </c>
      <c r="AO223" s="6">
        <f>IFERROR(ROUND(AN223/(AC223+0.0001),3),"")</f>
        <v/>
      </c>
      <c r="AP223" s="6">
        <f>IFERROR(ROUND(AN223/(AB223/1000),3),"")</f>
        <v/>
      </c>
    </row>
    <row r="224">
      <c r="AN224" s="6">
        <f>ROUND(AK224*0.2+AJ224*0.2+AI224*0.2+AH224*0.15+AG224*0.1+AL224*0.05+AM224*0.1,3)</f>
        <v/>
      </c>
      <c r="AO224" s="6">
        <f>IFERROR(ROUND(AN224/(AC224+0.0001),3),"")</f>
        <v/>
      </c>
      <c r="AP224" s="6">
        <f>IFERROR(ROUND(AN224/(AB224/1000),3),"")</f>
        <v/>
      </c>
    </row>
    <row r="225">
      <c r="AN225" s="6">
        <f>ROUND(AK225*0.2+AJ225*0.2+AI225*0.2+AH225*0.15+AG225*0.1+AL225*0.05+AM225*0.1,3)</f>
        <v/>
      </c>
      <c r="AO225" s="6">
        <f>IFERROR(ROUND(AN225/(AC225+0.0001),3),"")</f>
        <v/>
      </c>
      <c r="AP225" s="6">
        <f>IFERROR(ROUND(AN225/(AB225/1000),3),"")</f>
        <v/>
      </c>
    </row>
    <row r="226">
      <c r="AN226" s="6">
        <f>ROUND(AK226*0.2+AJ226*0.2+AI226*0.2+AH226*0.15+AG226*0.1+AL226*0.05+AM226*0.1,3)</f>
        <v/>
      </c>
      <c r="AO226" s="6">
        <f>IFERROR(ROUND(AN226/(AC226+0.0001),3),"")</f>
        <v/>
      </c>
      <c r="AP226" s="6">
        <f>IFERROR(ROUND(AN226/(AB226/1000),3),"")</f>
        <v/>
      </c>
    </row>
    <row r="227">
      <c r="AN227" s="6">
        <f>ROUND(AK227*0.2+AJ227*0.2+AI227*0.2+AH227*0.15+AG227*0.1+AL227*0.05+AM227*0.1,3)</f>
        <v/>
      </c>
      <c r="AO227" s="6">
        <f>IFERROR(ROUND(AN227/(AC227+0.0001),3),"")</f>
        <v/>
      </c>
      <c r="AP227" s="6">
        <f>IFERROR(ROUND(AN227/(AB227/1000),3),"")</f>
        <v/>
      </c>
    </row>
    <row r="228">
      <c r="AN228" s="6">
        <f>ROUND(AK228*0.2+AJ228*0.2+AI228*0.2+AH228*0.15+AG228*0.1+AL228*0.05+AM228*0.1,3)</f>
        <v/>
      </c>
      <c r="AO228" s="6">
        <f>IFERROR(ROUND(AN228/(AC228+0.0001),3),"")</f>
        <v/>
      </c>
      <c r="AP228" s="6">
        <f>IFERROR(ROUND(AN228/(AB228/1000),3),"")</f>
        <v/>
      </c>
    </row>
    <row r="229">
      <c r="AN229" s="6">
        <f>ROUND(AK229*0.2+AJ229*0.2+AI229*0.2+AH229*0.15+AG229*0.1+AL229*0.05+AM229*0.1,3)</f>
        <v/>
      </c>
      <c r="AO229" s="6">
        <f>IFERROR(ROUND(AN229/(AC229+0.0001),3),"")</f>
        <v/>
      </c>
      <c r="AP229" s="6">
        <f>IFERROR(ROUND(AN229/(AB229/1000),3),"")</f>
        <v/>
      </c>
    </row>
    <row r="230">
      <c r="AN230" s="6">
        <f>ROUND(AK230*0.2+AJ230*0.2+AI230*0.2+AH230*0.15+AG230*0.1+AL230*0.05+AM230*0.1,3)</f>
        <v/>
      </c>
      <c r="AO230" s="6">
        <f>IFERROR(ROUND(AN230/(AC230+0.0001),3),"")</f>
        <v/>
      </c>
      <c r="AP230" s="6">
        <f>IFERROR(ROUND(AN230/(AB230/1000),3),"")</f>
        <v/>
      </c>
    </row>
    <row r="231">
      <c r="AN231" s="6">
        <f>ROUND(AK231*0.2+AJ231*0.2+AI231*0.2+AH231*0.15+AG231*0.1+AL231*0.05+AM231*0.1,3)</f>
        <v/>
      </c>
      <c r="AO231" s="6">
        <f>IFERROR(ROUND(AN231/(AC231+0.0001),3),"")</f>
        <v/>
      </c>
      <c r="AP231" s="6">
        <f>IFERROR(ROUND(AN231/(AB231/1000),3),"")</f>
        <v/>
      </c>
    </row>
    <row r="232">
      <c r="AN232" s="6">
        <f>ROUND(AK232*0.2+AJ232*0.2+AI232*0.2+AH232*0.15+AG232*0.1+AL232*0.05+AM232*0.1,3)</f>
        <v/>
      </c>
      <c r="AO232" s="6">
        <f>IFERROR(ROUND(AN232/(AC232+0.0001),3),"")</f>
        <v/>
      </c>
      <c r="AP232" s="6">
        <f>IFERROR(ROUND(AN232/(AB232/1000),3),"")</f>
        <v/>
      </c>
    </row>
    <row r="233">
      <c r="AN233" s="6">
        <f>ROUND(AK233*0.2+AJ233*0.2+AI233*0.2+AH233*0.15+AG233*0.1+AL233*0.05+AM233*0.1,3)</f>
        <v/>
      </c>
      <c r="AO233" s="6">
        <f>IFERROR(ROUND(AN233/(AC233+0.0001),3),"")</f>
        <v/>
      </c>
      <c r="AP233" s="6">
        <f>IFERROR(ROUND(AN233/(AB233/1000),3),"")</f>
        <v/>
      </c>
    </row>
    <row r="234">
      <c r="AN234" s="6">
        <f>ROUND(AK234*0.2+AJ234*0.2+AI234*0.2+AH234*0.15+AG234*0.1+AL234*0.05+AM234*0.1,3)</f>
        <v/>
      </c>
      <c r="AO234" s="6">
        <f>IFERROR(ROUND(AN234/(AC234+0.0001),3),"")</f>
        <v/>
      </c>
      <c r="AP234" s="6">
        <f>IFERROR(ROUND(AN234/(AB234/1000),3),"")</f>
        <v/>
      </c>
    </row>
    <row r="235">
      <c r="AN235" s="6">
        <f>ROUND(AK235*0.2+AJ235*0.2+AI235*0.2+AH235*0.15+AG235*0.1+AL235*0.05+AM235*0.1,3)</f>
        <v/>
      </c>
      <c r="AO235" s="6">
        <f>IFERROR(ROUND(AN235/(AC235+0.0001),3),"")</f>
        <v/>
      </c>
      <c r="AP235" s="6">
        <f>IFERROR(ROUND(AN235/(AB235/1000),3),"")</f>
        <v/>
      </c>
    </row>
    <row r="236">
      <c r="AN236" s="6">
        <f>ROUND(AK236*0.2+AJ236*0.2+AI236*0.2+AH236*0.15+AG236*0.1+AL236*0.05+AM236*0.1,3)</f>
        <v/>
      </c>
      <c r="AO236" s="6">
        <f>IFERROR(ROUND(AN236/(AC236+0.0001),3),"")</f>
        <v/>
      </c>
      <c r="AP236" s="6">
        <f>IFERROR(ROUND(AN236/(AB236/1000),3),"")</f>
        <v/>
      </c>
    </row>
    <row r="237">
      <c r="AN237" s="6">
        <f>ROUND(AK237*0.2+AJ237*0.2+AI237*0.2+AH237*0.15+AG237*0.1+AL237*0.05+AM237*0.1,3)</f>
        <v/>
      </c>
      <c r="AO237" s="6">
        <f>IFERROR(ROUND(AN237/(AC237+0.0001),3),"")</f>
        <v/>
      </c>
      <c r="AP237" s="6">
        <f>IFERROR(ROUND(AN237/(AB237/1000),3),"")</f>
        <v/>
      </c>
    </row>
    <row r="238">
      <c r="AN238" s="6">
        <f>ROUND(AK238*0.2+AJ238*0.2+AI238*0.2+AH238*0.15+AG238*0.1+AL238*0.05+AM238*0.1,3)</f>
        <v/>
      </c>
      <c r="AO238" s="6">
        <f>IFERROR(ROUND(AN238/(AC238+0.0001),3),"")</f>
        <v/>
      </c>
      <c r="AP238" s="6">
        <f>IFERROR(ROUND(AN238/(AB238/1000),3),"")</f>
        <v/>
      </c>
    </row>
    <row r="239">
      <c r="AN239" s="6">
        <f>ROUND(AK239*0.2+AJ239*0.2+AI239*0.2+AH239*0.15+AG239*0.1+AL239*0.05+AM239*0.1,3)</f>
        <v/>
      </c>
      <c r="AO239" s="6">
        <f>IFERROR(ROUND(AN239/(AC239+0.0001),3),"")</f>
        <v/>
      </c>
      <c r="AP239" s="6">
        <f>IFERROR(ROUND(AN239/(AB239/1000),3),"")</f>
        <v/>
      </c>
    </row>
    <row r="240">
      <c r="AN240" s="6">
        <f>ROUND(AK240*0.2+AJ240*0.2+AI240*0.2+AH240*0.15+AG240*0.1+AL240*0.05+AM240*0.1,3)</f>
        <v/>
      </c>
      <c r="AO240" s="6">
        <f>IFERROR(ROUND(AN240/(AC240+0.0001),3),"")</f>
        <v/>
      </c>
      <c r="AP240" s="6">
        <f>IFERROR(ROUND(AN240/(AB240/1000),3),"")</f>
        <v/>
      </c>
    </row>
    <row r="241">
      <c r="AN241" s="6">
        <f>ROUND(AK241*0.2+AJ241*0.2+AI241*0.2+AH241*0.15+AG241*0.1+AL241*0.05+AM241*0.1,3)</f>
        <v/>
      </c>
      <c r="AO241" s="6">
        <f>IFERROR(ROUND(AN241/(AC241+0.0001),3),"")</f>
        <v/>
      </c>
      <c r="AP241" s="6">
        <f>IFERROR(ROUND(AN241/(AB241/1000),3),"")</f>
        <v/>
      </c>
    </row>
    <row r="242">
      <c r="AN242" s="6">
        <f>ROUND(AK242*0.2+AJ242*0.2+AI242*0.2+AH242*0.15+AG242*0.1+AL242*0.05+AM242*0.1,3)</f>
        <v/>
      </c>
      <c r="AO242" s="6">
        <f>IFERROR(ROUND(AN242/(AC242+0.0001),3),"")</f>
        <v/>
      </c>
      <c r="AP242" s="6">
        <f>IFERROR(ROUND(AN242/(AB242/1000),3),"")</f>
        <v/>
      </c>
    </row>
    <row r="243">
      <c r="AN243" s="6">
        <f>ROUND(AK243*0.2+AJ243*0.2+AI243*0.2+AH243*0.15+AG243*0.1+AL243*0.05+AM243*0.1,3)</f>
        <v/>
      </c>
      <c r="AO243" s="6">
        <f>IFERROR(ROUND(AN243/(AC243+0.0001),3),"")</f>
        <v/>
      </c>
      <c r="AP243" s="6">
        <f>IFERROR(ROUND(AN243/(AB243/1000),3),"")</f>
        <v/>
      </c>
    </row>
    <row r="244">
      <c r="AN244" s="6">
        <f>ROUND(AK244*0.2+AJ244*0.2+AI244*0.2+AH244*0.15+AG244*0.1+AL244*0.05+AM244*0.1,3)</f>
        <v/>
      </c>
      <c r="AO244" s="6">
        <f>IFERROR(ROUND(AN244/(AC244+0.0001),3),"")</f>
        <v/>
      </c>
      <c r="AP244" s="6">
        <f>IFERROR(ROUND(AN244/(AB244/1000),3),"")</f>
        <v/>
      </c>
    </row>
    <row r="245">
      <c r="AN245" s="6">
        <f>ROUND(AK245*0.2+AJ245*0.2+AI245*0.2+AH245*0.15+AG245*0.1+AL245*0.05+AM245*0.1,3)</f>
        <v/>
      </c>
      <c r="AO245" s="6">
        <f>IFERROR(ROUND(AN245/(AC245+0.0001),3),"")</f>
        <v/>
      </c>
      <c r="AP245" s="6">
        <f>IFERROR(ROUND(AN245/(AB245/1000),3),"")</f>
        <v/>
      </c>
    </row>
    <row r="246">
      <c r="AN246" s="6">
        <f>ROUND(AK246*0.2+AJ246*0.2+AI246*0.2+AH246*0.15+AG246*0.1+AL246*0.05+AM246*0.1,3)</f>
        <v/>
      </c>
      <c r="AO246" s="6">
        <f>IFERROR(ROUND(AN246/(AC246+0.0001),3),"")</f>
        <v/>
      </c>
      <c r="AP246" s="6">
        <f>IFERROR(ROUND(AN246/(AB246/1000),3),"")</f>
        <v/>
      </c>
    </row>
    <row r="247">
      <c r="AN247" s="6">
        <f>ROUND(AK247*0.2+AJ247*0.2+AI247*0.2+AH247*0.15+AG247*0.1+AL247*0.05+AM247*0.1,3)</f>
        <v/>
      </c>
      <c r="AO247" s="6">
        <f>IFERROR(ROUND(AN247/(AC247+0.0001),3),"")</f>
        <v/>
      </c>
      <c r="AP247" s="6">
        <f>IFERROR(ROUND(AN247/(AB247/1000),3),"")</f>
        <v/>
      </c>
    </row>
    <row r="248">
      <c r="AN248" s="6">
        <f>ROUND(AK248*0.2+AJ248*0.2+AI248*0.2+AH248*0.15+AG248*0.1+AL248*0.05+AM248*0.1,3)</f>
        <v/>
      </c>
      <c r="AO248" s="6">
        <f>IFERROR(ROUND(AN248/(AC248+0.0001),3),"")</f>
        <v/>
      </c>
      <c r="AP248" s="6">
        <f>IFERROR(ROUND(AN248/(AB248/1000),3),"")</f>
        <v/>
      </c>
    </row>
    <row r="249">
      <c r="AN249" s="6">
        <f>ROUND(AK249*0.2+AJ249*0.2+AI249*0.2+AH249*0.15+AG249*0.1+AL249*0.05+AM249*0.1,3)</f>
        <v/>
      </c>
      <c r="AO249" s="6">
        <f>IFERROR(ROUND(AN249/(AC249+0.0001),3),"")</f>
        <v/>
      </c>
      <c r="AP249" s="6">
        <f>IFERROR(ROUND(AN249/(AB249/1000),3),"")</f>
        <v/>
      </c>
    </row>
    <row r="250">
      <c r="AN250" s="6">
        <f>ROUND(AK250*0.2+AJ250*0.2+AI250*0.2+AH250*0.15+AG250*0.1+AL250*0.05+AM250*0.1,3)</f>
        <v/>
      </c>
      <c r="AO250" s="6">
        <f>IFERROR(ROUND(AN250/(AC250+0.0001),3),"")</f>
        <v/>
      </c>
      <c r="AP250" s="6">
        <f>IFERROR(ROUND(AN250/(AB250/1000),3),"")</f>
        <v/>
      </c>
    </row>
    <row r="251">
      <c r="AN251" s="6">
        <f>ROUND(AK251*0.2+AJ251*0.2+AI251*0.2+AH251*0.15+AG251*0.1+AL251*0.05+AM251*0.1,3)</f>
        <v/>
      </c>
      <c r="AO251" s="6">
        <f>IFERROR(ROUND(AN251/(AC251+0.0001),3),"")</f>
        <v/>
      </c>
      <c r="AP251" s="6">
        <f>IFERROR(ROUND(AN251/(AB251/1000),3),"")</f>
        <v/>
      </c>
    </row>
    <row r="252">
      <c r="AN252" s="6">
        <f>ROUND(AK252*0.2+AJ252*0.2+AI252*0.2+AH252*0.15+AG252*0.1+AL252*0.05+AM252*0.1,3)</f>
        <v/>
      </c>
      <c r="AO252" s="6">
        <f>IFERROR(ROUND(AN252/(AC252+0.0001),3),"")</f>
        <v/>
      </c>
      <c r="AP252" s="6">
        <f>IFERROR(ROUND(AN252/(AB252/1000),3),"")</f>
        <v/>
      </c>
    </row>
    <row r="253">
      <c r="AN253" s="6">
        <f>ROUND(AK253*0.2+AJ253*0.2+AI253*0.2+AH253*0.15+AG253*0.1+AL253*0.05+AM253*0.1,3)</f>
        <v/>
      </c>
      <c r="AO253" s="6">
        <f>IFERROR(ROUND(AN253/(AC253+0.0001),3),"")</f>
        <v/>
      </c>
      <c r="AP253" s="6">
        <f>IFERROR(ROUND(AN253/(AB253/1000),3),"")</f>
        <v/>
      </c>
    </row>
    <row r="254">
      <c r="AN254" s="6">
        <f>ROUND(AK254*0.2+AJ254*0.2+AI254*0.2+AH254*0.15+AG254*0.1+AL254*0.05+AM254*0.1,3)</f>
        <v/>
      </c>
      <c r="AO254" s="6">
        <f>IFERROR(ROUND(AN254/(AC254+0.0001),3),"")</f>
        <v/>
      </c>
      <c r="AP254" s="6">
        <f>IFERROR(ROUND(AN254/(AB254/1000),3),"")</f>
        <v/>
      </c>
    </row>
    <row r="255">
      <c r="AN255" s="6">
        <f>ROUND(AK255*0.2+AJ255*0.2+AI255*0.2+AH255*0.15+AG255*0.1+AL255*0.05+AM255*0.1,3)</f>
        <v/>
      </c>
      <c r="AO255" s="6">
        <f>IFERROR(ROUND(AN255/(AC255+0.0001),3),"")</f>
        <v/>
      </c>
      <c r="AP255" s="6">
        <f>IFERROR(ROUND(AN255/(AB255/1000),3),"")</f>
        <v/>
      </c>
    </row>
    <row r="256">
      <c r="AN256" s="6">
        <f>ROUND(AK256*0.2+AJ256*0.2+AI256*0.2+AH256*0.15+AG256*0.1+AL256*0.05+AM256*0.1,3)</f>
        <v/>
      </c>
      <c r="AO256" s="6">
        <f>IFERROR(ROUND(AN256/(AC256+0.0001),3),"")</f>
        <v/>
      </c>
      <c r="AP256" s="6">
        <f>IFERROR(ROUND(AN256/(AB256/1000),3),"")</f>
        <v/>
      </c>
    </row>
    <row r="257">
      <c r="AN257" s="6">
        <f>ROUND(AK257*0.2+AJ257*0.2+AI257*0.2+AH257*0.15+AG257*0.1+AL257*0.05+AM257*0.1,3)</f>
        <v/>
      </c>
      <c r="AO257" s="6">
        <f>IFERROR(ROUND(AN257/(AC257+0.0001),3),"")</f>
        <v/>
      </c>
      <c r="AP257" s="6">
        <f>IFERROR(ROUND(AN257/(AB257/1000),3),"")</f>
        <v/>
      </c>
    </row>
    <row r="258">
      <c r="AN258" s="6">
        <f>ROUND(AK258*0.2+AJ258*0.2+AI258*0.2+AH258*0.15+AG258*0.1+AL258*0.05+AM258*0.1,3)</f>
        <v/>
      </c>
      <c r="AO258" s="6">
        <f>IFERROR(ROUND(AN258/(AC258+0.0001),3),"")</f>
        <v/>
      </c>
      <c r="AP258" s="6">
        <f>IFERROR(ROUND(AN258/(AB258/1000),3),"")</f>
        <v/>
      </c>
    </row>
    <row r="259">
      <c r="AN259" s="6">
        <f>ROUND(AK259*0.2+AJ259*0.2+AI259*0.2+AH259*0.15+AG259*0.1+AL259*0.05+AM259*0.1,3)</f>
        <v/>
      </c>
      <c r="AO259" s="6">
        <f>IFERROR(ROUND(AN259/(AC259+0.0001),3),"")</f>
        <v/>
      </c>
      <c r="AP259" s="6">
        <f>IFERROR(ROUND(AN259/(AB259/1000),3),"")</f>
        <v/>
      </c>
    </row>
    <row r="260">
      <c r="AN260" s="6">
        <f>ROUND(AK260*0.2+AJ260*0.2+AI260*0.2+AH260*0.15+AG260*0.1+AL260*0.05+AM260*0.1,3)</f>
        <v/>
      </c>
      <c r="AO260" s="6">
        <f>IFERROR(ROUND(AN260/(AC260+0.0001),3),"")</f>
        <v/>
      </c>
      <c r="AP260" s="6">
        <f>IFERROR(ROUND(AN260/(AB260/1000),3),"")</f>
        <v/>
      </c>
    </row>
    <row r="261">
      <c r="AN261" s="6">
        <f>ROUND(AK261*0.2+AJ261*0.2+AI261*0.2+AH261*0.15+AG261*0.1+AL261*0.05+AM261*0.1,3)</f>
        <v/>
      </c>
      <c r="AO261" s="6">
        <f>IFERROR(ROUND(AN261/(AC261+0.0001),3),"")</f>
        <v/>
      </c>
      <c r="AP261" s="6">
        <f>IFERROR(ROUND(AN261/(AB261/1000),3),"")</f>
        <v/>
      </c>
    </row>
    <row r="262">
      <c r="AN262" s="6">
        <f>ROUND(AK262*0.2+AJ262*0.2+AI262*0.2+AH262*0.15+AG262*0.1+AL262*0.05+AM262*0.1,3)</f>
        <v/>
      </c>
      <c r="AO262" s="6">
        <f>IFERROR(ROUND(AN262/(AC262+0.0001),3),"")</f>
        <v/>
      </c>
      <c r="AP262" s="6">
        <f>IFERROR(ROUND(AN262/(AB262/1000),3),"")</f>
        <v/>
      </c>
    </row>
    <row r="263">
      <c r="AN263" s="6">
        <f>ROUND(AK263*0.2+AJ263*0.2+AI263*0.2+AH263*0.15+AG263*0.1+AL263*0.05+AM263*0.1,3)</f>
        <v/>
      </c>
      <c r="AO263" s="6">
        <f>IFERROR(ROUND(AN263/(AC263+0.0001),3),"")</f>
        <v/>
      </c>
      <c r="AP263" s="6">
        <f>IFERROR(ROUND(AN263/(AB263/1000),3),"")</f>
        <v/>
      </c>
    </row>
    <row r="264">
      <c r="AN264" s="6">
        <f>ROUND(AK264*0.2+AJ264*0.2+AI264*0.2+AH264*0.15+AG264*0.1+AL264*0.05+AM264*0.1,3)</f>
        <v/>
      </c>
      <c r="AO264" s="6">
        <f>IFERROR(ROUND(AN264/(AC264+0.0001),3),"")</f>
        <v/>
      </c>
      <c r="AP264" s="6">
        <f>IFERROR(ROUND(AN264/(AB264/1000),3),"")</f>
        <v/>
      </c>
    </row>
    <row r="265">
      <c r="AN265" s="6">
        <f>ROUND(AK265*0.2+AJ265*0.2+AI265*0.2+AH265*0.15+AG265*0.1+AL265*0.05+AM265*0.1,3)</f>
        <v/>
      </c>
      <c r="AO265" s="6">
        <f>IFERROR(ROUND(AN265/(AC265+0.0001),3),"")</f>
        <v/>
      </c>
      <c r="AP265" s="6">
        <f>IFERROR(ROUND(AN265/(AB265/1000),3),"")</f>
        <v/>
      </c>
    </row>
    <row r="266">
      <c r="AN266" s="6">
        <f>ROUND(AK266*0.2+AJ266*0.2+AI266*0.2+AH266*0.15+AG266*0.1+AL266*0.05+AM266*0.1,3)</f>
        <v/>
      </c>
      <c r="AO266" s="6">
        <f>IFERROR(ROUND(AN266/(AC266+0.0001),3),"")</f>
        <v/>
      </c>
      <c r="AP266" s="6">
        <f>IFERROR(ROUND(AN266/(AB266/1000),3),"")</f>
        <v/>
      </c>
    </row>
    <row r="267">
      <c r="AN267" s="6">
        <f>ROUND(AK267*0.2+AJ267*0.2+AI267*0.2+AH267*0.15+AG267*0.1+AL267*0.05+AM267*0.1,3)</f>
        <v/>
      </c>
      <c r="AO267" s="6">
        <f>IFERROR(ROUND(AN267/(AC267+0.0001),3),"")</f>
        <v/>
      </c>
      <c r="AP267" s="6">
        <f>IFERROR(ROUND(AN267/(AB267/1000),3),"")</f>
        <v/>
      </c>
    </row>
    <row r="268">
      <c r="AN268" s="6">
        <f>ROUND(AK268*0.2+AJ268*0.2+AI268*0.2+AH268*0.15+AG268*0.1+AL268*0.05+AM268*0.1,3)</f>
        <v/>
      </c>
      <c r="AO268" s="6">
        <f>IFERROR(ROUND(AN268/(AC268+0.0001),3),"")</f>
        <v/>
      </c>
      <c r="AP268" s="6">
        <f>IFERROR(ROUND(AN268/(AB268/1000),3),"")</f>
        <v/>
      </c>
    </row>
    <row r="269">
      <c r="AN269" s="6">
        <f>ROUND(AK269*0.2+AJ269*0.2+AI269*0.2+AH269*0.15+AG269*0.1+AL269*0.05+AM269*0.1,3)</f>
        <v/>
      </c>
      <c r="AO269" s="6">
        <f>IFERROR(ROUND(AN269/(AC269+0.0001),3),"")</f>
        <v/>
      </c>
      <c r="AP269" s="6">
        <f>IFERROR(ROUND(AN269/(AB269/1000),3),"")</f>
        <v/>
      </c>
    </row>
    <row r="270">
      <c r="AN270" s="6">
        <f>ROUND(AK270*0.2+AJ270*0.2+AI270*0.2+AH270*0.15+AG270*0.1+AL270*0.05+AM270*0.1,3)</f>
        <v/>
      </c>
      <c r="AO270" s="6">
        <f>IFERROR(ROUND(AN270/(AC270+0.0001),3),"")</f>
        <v/>
      </c>
      <c r="AP270" s="6">
        <f>IFERROR(ROUND(AN270/(AB270/1000),3),"")</f>
        <v/>
      </c>
    </row>
    <row r="271">
      <c r="AN271" s="6">
        <f>ROUND(AK271*0.2+AJ271*0.2+AI271*0.2+AH271*0.15+AG271*0.1+AL271*0.05+AM271*0.1,3)</f>
        <v/>
      </c>
      <c r="AO271" s="6">
        <f>IFERROR(ROUND(AN271/(AC271+0.0001),3),"")</f>
        <v/>
      </c>
      <c r="AP271" s="6">
        <f>IFERROR(ROUND(AN271/(AB271/1000),3),"")</f>
        <v/>
      </c>
    </row>
    <row r="272">
      <c r="AN272" s="6">
        <f>ROUND(AK272*0.2+AJ272*0.2+AI272*0.2+AH272*0.15+AG272*0.1+AL272*0.05+AM272*0.1,3)</f>
        <v/>
      </c>
      <c r="AO272" s="6">
        <f>IFERROR(ROUND(AN272/(AC272+0.0001),3),"")</f>
        <v/>
      </c>
      <c r="AP272" s="6">
        <f>IFERROR(ROUND(AN272/(AB272/1000),3),"")</f>
        <v/>
      </c>
    </row>
    <row r="273">
      <c r="AN273" s="6">
        <f>ROUND(AK273*0.2+AJ273*0.2+AI273*0.2+AH273*0.15+AG273*0.1+AL273*0.05+AM273*0.1,3)</f>
        <v/>
      </c>
      <c r="AO273" s="6">
        <f>IFERROR(ROUND(AN273/(AC273+0.0001),3),"")</f>
        <v/>
      </c>
      <c r="AP273" s="6">
        <f>IFERROR(ROUND(AN273/(AB273/1000),3),"")</f>
        <v/>
      </c>
    </row>
    <row r="274">
      <c r="AN274" s="6">
        <f>ROUND(AK274*0.2+AJ274*0.2+AI274*0.2+AH274*0.15+AG274*0.1+AL274*0.05+AM274*0.1,3)</f>
        <v/>
      </c>
      <c r="AO274" s="6">
        <f>IFERROR(ROUND(AN274/(AC274+0.0001),3),"")</f>
        <v/>
      </c>
      <c r="AP274" s="6">
        <f>IFERROR(ROUND(AN274/(AB274/1000),3),"")</f>
        <v/>
      </c>
    </row>
    <row r="275">
      <c r="AN275" s="6">
        <f>ROUND(AK275*0.2+AJ275*0.2+AI275*0.2+AH275*0.15+AG275*0.1+AL275*0.05+AM275*0.1,3)</f>
        <v/>
      </c>
      <c r="AO275" s="6">
        <f>IFERROR(ROUND(AN275/(AC275+0.0001),3),"")</f>
        <v/>
      </c>
      <c r="AP275" s="6">
        <f>IFERROR(ROUND(AN275/(AB275/1000),3),"")</f>
        <v/>
      </c>
    </row>
    <row r="276">
      <c r="AN276" s="6">
        <f>ROUND(AK276*0.2+AJ276*0.2+AI276*0.2+AH276*0.15+AG276*0.1+AL276*0.05+AM276*0.1,3)</f>
        <v/>
      </c>
      <c r="AO276" s="6">
        <f>IFERROR(ROUND(AN276/(AC276+0.0001),3),"")</f>
        <v/>
      </c>
      <c r="AP276" s="6">
        <f>IFERROR(ROUND(AN276/(AB276/1000),3),"")</f>
        <v/>
      </c>
    </row>
    <row r="277">
      <c r="AN277" s="6">
        <f>ROUND(AK277*0.2+AJ277*0.2+AI277*0.2+AH277*0.15+AG277*0.1+AL277*0.05+AM277*0.1,3)</f>
        <v/>
      </c>
      <c r="AO277" s="6">
        <f>IFERROR(ROUND(AN277/(AC277+0.0001),3),"")</f>
        <v/>
      </c>
      <c r="AP277" s="6">
        <f>IFERROR(ROUND(AN277/(AB277/1000),3),"")</f>
        <v/>
      </c>
    </row>
    <row r="278">
      <c r="AN278" s="6">
        <f>ROUND(AK278*0.2+AJ278*0.2+AI278*0.2+AH278*0.15+AG278*0.1+AL278*0.05+AM278*0.1,3)</f>
        <v/>
      </c>
      <c r="AO278" s="6">
        <f>IFERROR(ROUND(AN278/(AC278+0.0001),3),"")</f>
        <v/>
      </c>
      <c r="AP278" s="6">
        <f>IFERROR(ROUND(AN278/(AB278/1000),3),"")</f>
        <v/>
      </c>
    </row>
    <row r="279">
      <c r="AN279" s="6">
        <f>ROUND(AK279*0.2+AJ279*0.2+AI279*0.2+AH279*0.15+AG279*0.1+AL279*0.05+AM279*0.1,3)</f>
        <v/>
      </c>
      <c r="AO279" s="6">
        <f>IFERROR(ROUND(AN279/(AC279+0.0001),3),"")</f>
        <v/>
      </c>
      <c r="AP279" s="6">
        <f>IFERROR(ROUND(AN279/(AB279/1000),3),"")</f>
        <v/>
      </c>
    </row>
    <row r="280">
      <c r="AN280" s="6">
        <f>ROUND(AK280*0.2+AJ280*0.2+AI280*0.2+AH280*0.15+AG280*0.1+AL280*0.05+AM280*0.1,3)</f>
        <v/>
      </c>
      <c r="AO280" s="6">
        <f>IFERROR(ROUND(AN280/(AC280+0.0001),3),"")</f>
        <v/>
      </c>
      <c r="AP280" s="6">
        <f>IFERROR(ROUND(AN280/(AB280/1000),3),"")</f>
        <v/>
      </c>
    </row>
    <row r="281">
      <c r="AN281" s="6">
        <f>ROUND(AK281*0.2+AJ281*0.2+AI281*0.2+AH281*0.15+AG281*0.1+AL281*0.05+AM281*0.1,3)</f>
        <v/>
      </c>
      <c r="AO281" s="6">
        <f>IFERROR(ROUND(AN281/(AC281+0.0001),3),"")</f>
        <v/>
      </c>
      <c r="AP281" s="6">
        <f>IFERROR(ROUND(AN281/(AB281/1000),3),"")</f>
        <v/>
      </c>
    </row>
    <row r="282">
      <c r="AN282" s="6">
        <f>ROUND(AK282*0.2+AJ282*0.2+AI282*0.2+AH282*0.15+AG282*0.1+AL282*0.05+AM282*0.1,3)</f>
        <v/>
      </c>
      <c r="AO282" s="6">
        <f>IFERROR(ROUND(AN282/(AC282+0.0001),3),"")</f>
        <v/>
      </c>
      <c r="AP282" s="6">
        <f>IFERROR(ROUND(AN282/(AB282/1000),3),"")</f>
        <v/>
      </c>
    </row>
    <row r="283">
      <c r="AN283" s="6">
        <f>ROUND(AK283*0.2+AJ283*0.2+AI283*0.2+AH283*0.15+AG283*0.1+AL283*0.05+AM283*0.1,3)</f>
        <v/>
      </c>
      <c r="AO283" s="6">
        <f>IFERROR(ROUND(AN283/(AC283+0.0001),3),"")</f>
        <v/>
      </c>
      <c r="AP283" s="6">
        <f>IFERROR(ROUND(AN283/(AB283/1000),3),"")</f>
        <v/>
      </c>
    </row>
    <row r="284">
      <c r="AN284" s="6">
        <f>ROUND(AK284*0.2+AJ284*0.2+AI284*0.2+AH284*0.15+AG284*0.1+AL284*0.05+AM284*0.1,3)</f>
        <v/>
      </c>
      <c r="AO284" s="6">
        <f>IFERROR(ROUND(AN284/(AC284+0.0001),3),"")</f>
        <v/>
      </c>
      <c r="AP284" s="6">
        <f>IFERROR(ROUND(AN284/(AB284/1000),3),"")</f>
        <v/>
      </c>
    </row>
    <row r="285">
      <c r="AN285" s="6">
        <f>ROUND(AK285*0.2+AJ285*0.2+AI285*0.2+AH285*0.15+AG285*0.1+AL285*0.05+AM285*0.1,3)</f>
        <v/>
      </c>
      <c r="AO285" s="6">
        <f>IFERROR(ROUND(AN285/(AC285+0.0001),3),"")</f>
        <v/>
      </c>
      <c r="AP285" s="6">
        <f>IFERROR(ROUND(AN285/(AB285/1000),3),"")</f>
        <v/>
      </c>
    </row>
    <row r="286">
      <c r="AN286" s="6">
        <f>ROUND(AK286*0.2+AJ286*0.2+AI286*0.2+AH286*0.15+AG286*0.1+AL286*0.05+AM286*0.1,3)</f>
        <v/>
      </c>
      <c r="AO286" s="6">
        <f>IFERROR(ROUND(AN286/(AC286+0.0001),3),"")</f>
        <v/>
      </c>
      <c r="AP286" s="6">
        <f>IFERROR(ROUND(AN286/(AB286/1000),3),"")</f>
        <v/>
      </c>
    </row>
    <row r="287">
      <c r="AN287" s="6">
        <f>ROUND(AK287*0.2+AJ287*0.2+AI287*0.2+AH287*0.15+AG287*0.1+AL287*0.05+AM287*0.1,3)</f>
        <v/>
      </c>
      <c r="AO287" s="6">
        <f>IFERROR(ROUND(AN287/(AC287+0.0001),3),"")</f>
        <v/>
      </c>
      <c r="AP287" s="6">
        <f>IFERROR(ROUND(AN287/(AB287/1000),3),"")</f>
        <v/>
      </c>
    </row>
    <row r="288">
      <c r="AN288" s="6">
        <f>ROUND(AK288*0.2+AJ288*0.2+AI288*0.2+AH288*0.15+AG288*0.1+AL288*0.05+AM288*0.1,3)</f>
        <v/>
      </c>
      <c r="AO288" s="6">
        <f>IFERROR(ROUND(AN288/(AC288+0.0001),3),"")</f>
        <v/>
      </c>
      <c r="AP288" s="6">
        <f>IFERROR(ROUND(AN288/(AB288/1000),3),"")</f>
        <v/>
      </c>
    </row>
    <row r="289">
      <c r="AN289" s="6">
        <f>ROUND(AK289*0.2+AJ289*0.2+AI289*0.2+AH289*0.15+AG289*0.1+AL289*0.05+AM289*0.1,3)</f>
        <v/>
      </c>
      <c r="AO289" s="6">
        <f>IFERROR(ROUND(AN289/(AC289+0.0001),3),"")</f>
        <v/>
      </c>
      <c r="AP289" s="6">
        <f>IFERROR(ROUND(AN289/(AB289/1000),3),"")</f>
        <v/>
      </c>
    </row>
    <row r="290">
      <c r="AN290" s="6">
        <f>ROUND(AK290*0.2+AJ290*0.2+AI290*0.2+AH290*0.15+AG290*0.1+AL290*0.05+AM290*0.1,3)</f>
        <v/>
      </c>
      <c r="AO290" s="6">
        <f>IFERROR(ROUND(AN290/(AC290+0.0001),3),"")</f>
        <v/>
      </c>
      <c r="AP290" s="6">
        <f>IFERROR(ROUND(AN290/(AB290/1000),3),"")</f>
        <v/>
      </c>
    </row>
    <row r="291">
      <c r="AN291" s="6">
        <f>ROUND(AK291*0.2+AJ291*0.2+AI291*0.2+AH291*0.15+AG291*0.1+AL291*0.05+AM291*0.1,3)</f>
        <v/>
      </c>
      <c r="AO291" s="6">
        <f>IFERROR(ROUND(AN291/(AC291+0.0001),3),"")</f>
        <v/>
      </c>
      <c r="AP291" s="6">
        <f>IFERROR(ROUND(AN291/(AB291/1000),3),"")</f>
        <v/>
      </c>
    </row>
    <row r="292">
      <c r="AN292" s="6">
        <f>ROUND(AK292*0.2+AJ292*0.2+AI292*0.2+AH292*0.15+AG292*0.1+AL292*0.05+AM292*0.1,3)</f>
        <v/>
      </c>
      <c r="AO292" s="6">
        <f>IFERROR(ROUND(AN292/(AC292+0.0001),3),"")</f>
        <v/>
      </c>
      <c r="AP292" s="6">
        <f>IFERROR(ROUND(AN292/(AB292/1000),3),"")</f>
        <v/>
      </c>
    </row>
    <row r="293">
      <c r="AN293" s="6">
        <f>ROUND(AK293*0.2+AJ293*0.2+AI293*0.2+AH293*0.15+AG293*0.1+AL293*0.05+AM293*0.1,3)</f>
        <v/>
      </c>
      <c r="AO293" s="6">
        <f>IFERROR(ROUND(AN293/(AC293+0.0001),3),"")</f>
        <v/>
      </c>
      <c r="AP293" s="6">
        <f>IFERROR(ROUND(AN293/(AB293/1000),3),"")</f>
        <v/>
      </c>
    </row>
    <row r="294">
      <c r="AN294" s="6">
        <f>ROUND(AK294*0.2+AJ294*0.2+AI294*0.2+AH294*0.15+AG294*0.1+AL294*0.05+AM294*0.1,3)</f>
        <v/>
      </c>
      <c r="AO294" s="6">
        <f>IFERROR(ROUND(AN294/(AC294+0.0001),3),"")</f>
        <v/>
      </c>
      <c r="AP294" s="6">
        <f>IFERROR(ROUND(AN294/(AB294/1000),3),"")</f>
        <v/>
      </c>
    </row>
    <row r="295">
      <c r="AN295" s="6">
        <f>ROUND(AK295*0.2+AJ295*0.2+AI295*0.2+AH295*0.15+AG295*0.1+AL295*0.05+AM295*0.1,3)</f>
        <v/>
      </c>
      <c r="AO295" s="6">
        <f>IFERROR(ROUND(AN295/(AC295+0.0001),3),"")</f>
        <v/>
      </c>
      <c r="AP295" s="6">
        <f>IFERROR(ROUND(AN295/(AB295/1000),3),"")</f>
        <v/>
      </c>
    </row>
    <row r="296">
      <c r="AN296" s="6">
        <f>ROUND(AK296*0.2+AJ296*0.2+AI296*0.2+AH296*0.15+AG296*0.1+AL296*0.05+AM296*0.1,3)</f>
        <v/>
      </c>
      <c r="AO296" s="6">
        <f>IFERROR(ROUND(AN296/(AC296+0.0001),3),"")</f>
        <v/>
      </c>
      <c r="AP296" s="6">
        <f>IFERROR(ROUND(AN296/(AB296/1000),3),"")</f>
        <v/>
      </c>
    </row>
    <row r="297">
      <c r="AN297" s="6">
        <f>ROUND(AK297*0.2+AJ297*0.2+AI297*0.2+AH297*0.15+AG297*0.1+AL297*0.05+AM297*0.1,3)</f>
        <v/>
      </c>
      <c r="AO297" s="6">
        <f>IFERROR(ROUND(AN297/(AC297+0.0001),3),"")</f>
        <v/>
      </c>
      <c r="AP297" s="6">
        <f>IFERROR(ROUND(AN297/(AB297/1000),3),"")</f>
        <v/>
      </c>
    </row>
    <row r="298">
      <c r="AN298" s="6">
        <f>ROUND(AK298*0.2+AJ298*0.2+AI298*0.2+AH298*0.15+AG298*0.1+AL298*0.05+AM298*0.1,3)</f>
        <v/>
      </c>
      <c r="AO298" s="6">
        <f>IFERROR(ROUND(AN298/(AC298+0.0001),3),"")</f>
        <v/>
      </c>
      <c r="AP298" s="6">
        <f>IFERROR(ROUND(AN298/(AB298/1000),3),"")</f>
        <v/>
      </c>
    </row>
    <row r="299">
      <c r="AN299" s="6">
        <f>ROUND(AK299*0.2+AJ299*0.2+AI299*0.2+AH299*0.15+AG299*0.1+AL299*0.05+AM299*0.1,3)</f>
        <v/>
      </c>
      <c r="AO299" s="6">
        <f>IFERROR(ROUND(AN299/(AC299+0.0001),3),"")</f>
        <v/>
      </c>
      <c r="AP299" s="6">
        <f>IFERROR(ROUND(AN299/(AB299/1000),3),"")</f>
        <v/>
      </c>
    </row>
    <row r="300">
      <c r="AN300" s="6">
        <f>ROUND(AK300*0.2+AJ300*0.2+AI300*0.2+AH300*0.15+AG300*0.1+AL300*0.05+AM300*0.1,3)</f>
        <v/>
      </c>
      <c r="AO300" s="6">
        <f>IFERROR(ROUND(AN300/(AC300+0.0001),3),"")</f>
        <v/>
      </c>
      <c r="AP300" s="6">
        <f>IFERROR(ROUND(AN300/(AB300/1000),3),"")</f>
        <v/>
      </c>
    </row>
    <row r="301">
      <c r="AN301" s="6">
        <f>ROUND(AK301*0.2+AJ301*0.2+AI301*0.2+AH301*0.15+AG301*0.1+AL301*0.05+AM301*0.1,3)</f>
        <v/>
      </c>
      <c r="AO301" s="6">
        <f>IFERROR(ROUND(AN301/(AC301+0.0001),3),"")</f>
        <v/>
      </c>
      <c r="AP301" s="6">
        <f>IFERROR(ROUND(AN301/(AB301/1000),3),"")</f>
        <v/>
      </c>
    </row>
    <row r="302">
      <c r="AN302" s="6">
        <f>ROUND(AK302*0.2+AJ302*0.2+AI302*0.2+AH302*0.15+AG302*0.1+AL302*0.05+AM302*0.1,3)</f>
        <v/>
      </c>
      <c r="AO302" s="6">
        <f>IFERROR(ROUND(AN302/(AC302+0.0001),3),"")</f>
        <v/>
      </c>
      <c r="AP302" s="6">
        <f>IFERROR(ROUND(AN302/(AB302/1000),3),"")</f>
        <v/>
      </c>
    </row>
    <row r="303">
      <c r="AN303" s="6">
        <f>ROUND(AK303*0.2+AJ303*0.2+AI303*0.2+AH303*0.15+AG303*0.1+AL303*0.05+AM303*0.1,3)</f>
        <v/>
      </c>
      <c r="AO303" s="6">
        <f>IFERROR(ROUND(AN303/(AC303+0.0001),3),"")</f>
        <v/>
      </c>
      <c r="AP303" s="6">
        <f>IFERROR(ROUND(AN303/(AB303/1000),3),"")</f>
        <v/>
      </c>
    </row>
    <row r="304">
      <c r="AN304" s="6">
        <f>ROUND(AK304*0.2+AJ304*0.2+AI304*0.2+AH304*0.15+AG304*0.1+AL304*0.05+AM304*0.1,3)</f>
        <v/>
      </c>
      <c r="AO304" s="6">
        <f>IFERROR(ROUND(AN304/(AC304+0.0001),3),"")</f>
        <v/>
      </c>
      <c r="AP304" s="6">
        <f>IFERROR(ROUND(AN304/(AB304/1000),3),"")</f>
        <v/>
      </c>
    </row>
    <row r="305">
      <c r="AN305" s="6">
        <f>ROUND(AK305*0.2+AJ305*0.2+AI305*0.2+AH305*0.15+AG305*0.1+AL305*0.05+AM305*0.1,3)</f>
        <v/>
      </c>
      <c r="AO305" s="6">
        <f>IFERROR(ROUND(AN305/(AC305+0.0001),3),"")</f>
        <v/>
      </c>
      <c r="AP305" s="6">
        <f>IFERROR(ROUND(AN305/(AB305/1000),3),"")</f>
        <v/>
      </c>
    </row>
    <row r="306">
      <c r="AN306" s="6">
        <f>ROUND(AK306*0.2+AJ306*0.2+AI306*0.2+AH306*0.15+AG306*0.1+AL306*0.05+AM306*0.1,3)</f>
        <v/>
      </c>
      <c r="AO306" s="6">
        <f>IFERROR(ROUND(AN306/(AC306+0.0001),3),"")</f>
        <v/>
      </c>
      <c r="AP306" s="6">
        <f>IFERROR(ROUND(AN306/(AB306/1000),3),"")</f>
        <v/>
      </c>
    </row>
    <row r="307">
      <c r="AN307" s="6">
        <f>ROUND(AK307*0.2+AJ307*0.2+AI307*0.2+AH307*0.15+AG307*0.1+AL307*0.05+AM307*0.1,3)</f>
        <v/>
      </c>
      <c r="AO307" s="6">
        <f>IFERROR(ROUND(AN307/(AC307+0.0001),3),"")</f>
        <v/>
      </c>
      <c r="AP307" s="6">
        <f>IFERROR(ROUND(AN307/(AB307/1000),3),"")</f>
        <v/>
      </c>
    </row>
    <row r="308">
      <c r="AN308" s="6">
        <f>ROUND(AK308*0.2+AJ308*0.2+AI308*0.2+AH308*0.15+AG308*0.1+AL308*0.05+AM308*0.1,3)</f>
        <v/>
      </c>
      <c r="AO308" s="6">
        <f>IFERROR(ROUND(AN308/(AC308+0.0001),3),"")</f>
        <v/>
      </c>
      <c r="AP308" s="6">
        <f>IFERROR(ROUND(AN308/(AB308/1000),3),"")</f>
        <v/>
      </c>
    </row>
    <row r="309">
      <c r="AN309" s="6">
        <f>ROUND(AK309*0.2+AJ309*0.2+AI309*0.2+AH309*0.15+AG309*0.1+AL309*0.05+AM309*0.1,3)</f>
        <v/>
      </c>
      <c r="AO309" s="6">
        <f>IFERROR(ROUND(AN309/(AC309+0.0001),3),"")</f>
        <v/>
      </c>
      <c r="AP309" s="6">
        <f>IFERROR(ROUND(AN309/(AB309/1000),3),"")</f>
        <v/>
      </c>
    </row>
    <row r="310">
      <c r="AN310" s="6">
        <f>ROUND(AK310*0.2+AJ310*0.2+AI310*0.2+AH310*0.15+AG310*0.1+AL310*0.05+AM310*0.1,3)</f>
        <v/>
      </c>
      <c r="AO310" s="6">
        <f>IFERROR(ROUND(AN310/(AC310+0.0001),3),"")</f>
        <v/>
      </c>
      <c r="AP310" s="6">
        <f>IFERROR(ROUND(AN310/(AB310/1000),3),"")</f>
        <v/>
      </c>
    </row>
    <row r="311">
      <c r="AN311" s="6">
        <f>ROUND(AK311*0.2+AJ311*0.2+AI311*0.2+AH311*0.15+AG311*0.1+AL311*0.05+AM311*0.1,3)</f>
        <v/>
      </c>
      <c r="AO311" s="6">
        <f>IFERROR(ROUND(AN311/(AC311+0.0001),3),"")</f>
        <v/>
      </c>
      <c r="AP311" s="6">
        <f>IFERROR(ROUND(AN311/(AB311/1000),3),"")</f>
        <v/>
      </c>
    </row>
    <row r="312">
      <c r="AN312" s="6">
        <f>ROUND(AK312*0.2+AJ312*0.2+AI312*0.2+AH312*0.15+AG312*0.1+AL312*0.05+AM312*0.1,3)</f>
        <v/>
      </c>
      <c r="AO312" s="6">
        <f>IFERROR(ROUND(AN312/(AC312+0.0001),3),"")</f>
        <v/>
      </c>
      <c r="AP312" s="6">
        <f>IFERROR(ROUND(AN312/(AB312/1000),3),"")</f>
        <v/>
      </c>
    </row>
    <row r="313">
      <c r="AN313" s="6">
        <f>ROUND(AK313*0.2+AJ313*0.2+AI313*0.2+AH313*0.15+AG313*0.1+AL313*0.05+AM313*0.1,3)</f>
        <v/>
      </c>
      <c r="AO313" s="6">
        <f>IFERROR(ROUND(AN313/(AC313+0.0001),3),"")</f>
        <v/>
      </c>
      <c r="AP313" s="6">
        <f>IFERROR(ROUND(AN313/(AB313/1000),3),"")</f>
        <v/>
      </c>
    </row>
    <row r="314">
      <c r="AN314" s="6">
        <f>ROUND(AK314*0.2+AJ314*0.2+AI314*0.2+AH314*0.15+AG314*0.1+AL314*0.05+AM314*0.1,3)</f>
        <v/>
      </c>
      <c r="AO314" s="6">
        <f>IFERROR(ROUND(AN314/(AC314+0.0001),3),"")</f>
        <v/>
      </c>
      <c r="AP314" s="6">
        <f>IFERROR(ROUND(AN314/(AB314/1000),3),"")</f>
        <v/>
      </c>
    </row>
    <row r="315">
      <c r="AN315" s="6">
        <f>ROUND(AK315*0.2+AJ315*0.2+AI315*0.2+AH315*0.15+AG315*0.1+AL315*0.05+AM315*0.1,3)</f>
        <v/>
      </c>
      <c r="AO315" s="6">
        <f>IFERROR(ROUND(AN315/(AC315+0.0001),3),"")</f>
        <v/>
      </c>
      <c r="AP315" s="6">
        <f>IFERROR(ROUND(AN315/(AB315/1000),3),"")</f>
        <v/>
      </c>
    </row>
    <row r="316">
      <c r="AN316" s="6">
        <f>ROUND(AK316*0.2+AJ316*0.2+AI316*0.2+AH316*0.15+AG316*0.1+AL316*0.05+AM316*0.1,3)</f>
        <v/>
      </c>
      <c r="AO316" s="6">
        <f>IFERROR(ROUND(AN316/(AC316+0.0001),3),"")</f>
        <v/>
      </c>
      <c r="AP316" s="6">
        <f>IFERROR(ROUND(AN316/(AB316/1000),3),"")</f>
        <v/>
      </c>
    </row>
    <row r="317">
      <c r="AN317" s="6">
        <f>ROUND(AK317*0.2+AJ317*0.2+AI317*0.2+AH317*0.15+AG317*0.1+AL317*0.05+AM317*0.1,3)</f>
        <v/>
      </c>
      <c r="AO317" s="6">
        <f>IFERROR(ROUND(AN317/(AC317+0.0001),3),"")</f>
        <v/>
      </c>
      <c r="AP317" s="6">
        <f>IFERROR(ROUND(AN317/(AB317/1000),3),"")</f>
        <v/>
      </c>
    </row>
    <row r="318">
      <c r="AN318" s="6">
        <f>ROUND(AK318*0.2+AJ318*0.2+AI318*0.2+AH318*0.15+AG318*0.1+AL318*0.05+AM318*0.1,3)</f>
        <v/>
      </c>
      <c r="AO318" s="6">
        <f>IFERROR(ROUND(AN318/(AC318+0.0001),3),"")</f>
        <v/>
      </c>
      <c r="AP318" s="6">
        <f>IFERROR(ROUND(AN318/(AB318/1000),3),"")</f>
        <v/>
      </c>
    </row>
    <row r="319">
      <c r="AN319" s="6">
        <f>ROUND(AK319*0.2+AJ319*0.2+AI319*0.2+AH319*0.15+AG319*0.1+AL319*0.05+AM319*0.1,3)</f>
        <v/>
      </c>
      <c r="AO319" s="6">
        <f>IFERROR(ROUND(AN319/(AC319+0.0001),3),"")</f>
        <v/>
      </c>
      <c r="AP319" s="6">
        <f>IFERROR(ROUND(AN319/(AB319/1000),3),"")</f>
        <v/>
      </c>
    </row>
    <row r="320">
      <c r="AN320" s="6">
        <f>ROUND(AK320*0.2+AJ320*0.2+AI320*0.2+AH320*0.15+AG320*0.1+AL320*0.05+AM320*0.1,3)</f>
        <v/>
      </c>
      <c r="AO320" s="6">
        <f>IFERROR(ROUND(AN320/(AC320+0.0001),3),"")</f>
        <v/>
      </c>
      <c r="AP320" s="6">
        <f>IFERROR(ROUND(AN320/(AB320/1000),3),"")</f>
        <v/>
      </c>
    </row>
    <row r="321">
      <c r="AN321" s="6">
        <f>ROUND(AK321*0.2+AJ321*0.2+AI321*0.2+AH321*0.15+AG321*0.1+AL321*0.05+AM321*0.1,3)</f>
        <v/>
      </c>
      <c r="AO321" s="6">
        <f>IFERROR(ROUND(AN321/(AC321+0.0001),3),"")</f>
        <v/>
      </c>
      <c r="AP321" s="6">
        <f>IFERROR(ROUND(AN321/(AB321/1000),3),"")</f>
        <v/>
      </c>
    </row>
    <row r="322">
      <c r="AN322" s="6">
        <f>ROUND(AK322*0.2+AJ322*0.2+AI322*0.2+AH322*0.15+AG322*0.1+AL322*0.05+AM322*0.1,3)</f>
        <v/>
      </c>
      <c r="AO322" s="6">
        <f>IFERROR(ROUND(AN322/(AC322+0.0001),3),"")</f>
        <v/>
      </c>
      <c r="AP322" s="6">
        <f>IFERROR(ROUND(AN322/(AB322/1000),3),"")</f>
        <v/>
      </c>
    </row>
    <row r="323">
      <c r="AN323" s="6">
        <f>ROUND(AK323*0.2+AJ323*0.2+AI323*0.2+AH323*0.15+AG323*0.1+AL323*0.05+AM323*0.1,3)</f>
        <v/>
      </c>
      <c r="AO323" s="6">
        <f>IFERROR(ROUND(AN323/(AC323+0.0001),3),"")</f>
        <v/>
      </c>
      <c r="AP323" s="6">
        <f>IFERROR(ROUND(AN323/(AB323/1000),3),"")</f>
        <v/>
      </c>
    </row>
    <row r="324">
      <c r="AN324" s="6">
        <f>ROUND(AK324*0.2+AJ324*0.2+AI324*0.2+AH324*0.15+AG324*0.1+AL324*0.05+AM324*0.1,3)</f>
        <v/>
      </c>
      <c r="AO324" s="6">
        <f>IFERROR(ROUND(AN324/(AC324+0.0001),3),"")</f>
        <v/>
      </c>
      <c r="AP324" s="6">
        <f>IFERROR(ROUND(AN324/(AB324/1000),3),"")</f>
        <v/>
      </c>
    </row>
    <row r="325">
      <c r="AN325" s="6">
        <f>ROUND(AK325*0.2+AJ325*0.2+AI325*0.2+AH325*0.15+AG325*0.1+AL325*0.05+AM325*0.1,3)</f>
        <v/>
      </c>
      <c r="AO325" s="6">
        <f>IFERROR(ROUND(AN325/(AC325+0.0001),3),"")</f>
        <v/>
      </c>
      <c r="AP325" s="6">
        <f>IFERROR(ROUND(AN325/(AB325/1000),3),"")</f>
        <v/>
      </c>
    </row>
    <row r="326">
      <c r="AN326" s="6">
        <f>ROUND(AK326*0.2+AJ326*0.2+AI326*0.2+AH326*0.15+AG326*0.1+AL326*0.05+AM326*0.1,3)</f>
        <v/>
      </c>
      <c r="AO326" s="6">
        <f>IFERROR(ROUND(AN326/(AC326+0.0001),3),"")</f>
        <v/>
      </c>
      <c r="AP326" s="6">
        <f>IFERROR(ROUND(AN326/(AB326/1000),3),"")</f>
        <v/>
      </c>
    </row>
    <row r="327">
      <c r="AN327" s="6">
        <f>ROUND(AK327*0.2+AJ327*0.2+AI327*0.2+AH327*0.15+AG327*0.1+AL327*0.05+AM327*0.1,3)</f>
        <v/>
      </c>
      <c r="AO327" s="6">
        <f>IFERROR(ROUND(AN327/(AC327+0.0001),3),"")</f>
        <v/>
      </c>
      <c r="AP327" s="6">
        <f>IFERROR(ROUND(AN327/(AB327/1000),3),"")</f>
        <v/>
      </c>
    </row>
    <row r="328">
      <c r="AN328" s="6">
        <f>ROUND(AK328*0.2+AJ328*0.2+AI328*0.2+AH328*0.15+AG328*0.1+AL328*0.05+AM328*0.1,3)</f>
        <v/>
      </c>
      <c r="AO328" s="6">
        <f>IFERROR(ROUND(AN328/(AC328+0.0001),3),"")</f>
        <v/>
      </c>
      <c r="AP328" s="6">
        <f>IFERROR(ROUND(AN328/(AB328/1000),3),"")</f>
        <v/>
      </c>
    </row>
    <row r="329">
      <c r="AN329" s="6">
        <f>ROUND(AK329*0.2+AJ329*0.2+AI329*0.2+AH329*0.15+AG329*0.1+AL329*0.05+AM329*0.1,3)</f>
        <v/>
      </c>
      <c r="AO329" s="6">
        <f>IFERROR(ROUND(AN329/(AC329+0.0001),3),"")</f>
        <v/>
      </c>
      <c r="AP329" s="6">
        <f>IFERROR(ROUND(AN329/(AB329/1000),3),"")</f>
        <v/>
      </c>
    </row>
    <row r="330">
      <c r="AN330" s="6">
        <f>ROUND(AK330*0.2+AJ330*0.2+AI330*0.2+AH330*0.15+AG330*0.1+AL330*0.05+AM330*0.1,3)</f>
        <v/>
      </c>
      <c r="AO330" s="6">
        <f>IFERROR(ROUND(AN330/(AC330+0.0001),3),"")</f>
        <v/>
      </c>
      <c r="AP330" s="6">
        <f>IFERROR(ROUND(AN330/(AB330/1000),3),"")</f>
        <v/>
      </c>
    </row>
    <row r="331">
      <c r="AN331" s="6">
        <f>ROUND(AK331*0.2+AJ331*0.2+AI331*0.2+AH331*0.15+AG331*0.1+AL331*0.05+AM331*0.1,3)</f>
        <v/>
      </c>
      <c r="AO331" s="6">
        <f>IFERROR(ROUND(AN331/(AC331+0.0001),3),"")</f>
        <v/>
      </c>
      <c r="AP331" s="6">
        <f>IFERROR(ROUND(AN331/(AB331/1000),3),"")</f>
        <v/>
      </c>
    </row>
    <row r="332">
      <c r="AN332" s="6">
        <f>ROUND(AK332*0.2+AJ332*0.2+AI332*0.2+AH332*0.15+AG332*0.1+AL332*0.05+AM332*0.1,3)</f>
        <v/>
      </c>
      <c r="AO332" s="6">
        <f>IFERROR(ROUND(AN332/(AC332+0.0001),3),"")</f>
        <v/>
      </c>
      <c r="AP332" s="6">
        <f>IFERROR(ROUND(AN332/(AB332/1000),3),"")</f>
        <v/>
      </c>
    </row>
    <row r="333">
      <c r="AN333" s="6">
        <f>ROUND(AK333*0.2+AJ333*0.2+AI333*0.2+AH333*0.15+AG333*0.1+AL333*0.05+AM333*0.1,3)</f>
        <v/>
      </c>
      <c r="AO333" s="6">
        <f>IFERROR(ROUND(AN333/(AC333+0.0001),3),"")</f>
        <v/>
      </c>
      <c r="AP333" s="6">
        <f>IFERROR(ROUND(AN333/(AB333/1000),3),"")</f>
        <v/>
      </c>
    </row>
    <row r="334">
      <c r="AN334" s="6">
        <f>ROUND(AK334*0.2+AJ334*0.2+AI334*0.2+AH334*0.15+AG334*0.1+AL334*0.05+AM334*0.1,3)</f>
        <v/>
      </c>
      <c r="AO334" s="6">
        <f>IFERROR(ROUND(AN334/(AC334+0.0001),3),"")</f>
        <v/>
      </c>
      <c r="AP334" s="6">
        <f>IFERROR(ROUND(AN334/(AB334/1000),3),"")</f>
        <v/>
      </c>
    </row>
    <row r="335">
      <c r="AN335" s="6">
        <f>ROUND(AK335*0.2+AJ335*0.2+AI335*0.2+AH335*0.15+AG335*0.1+AL335*0.05+AM335*0.1,3)</f>
        <v/>
      </c>
      <c r="AO335" s="6">
        <f>IFERROR(ROUND(AN335/(AC335+0.0001),3),"")</f>
        <v/>
      </c>
      <c r="AP335" s="6">
        <f>IFERROR(ROUND(AN335/(AB335/1000),3),"")</f>
        <v/>
      </c>
    </row>
    <row r="336">
      <c r="AN336" s="6">
        <f>ROUND(AK336*0.2+AJ336*0.2+AI336*0.2+AH336*0.15+AG336*0.1+AL336*0.05+AM336*0.1,3)</f>
        <v/>
      </c>
      <c r="AO336" s="6">
        <f>IFERROR(ROUND(AN336/(AC336+0.0001),3),"")</f>
        <v/>
      </c>
      <c r="AP336" s="6">
        <f>IFERROR(ROUND(AN336/(AB336/1000),3),"")</f>
        <v/>
      </c>
    </row>
    <row r="337">
      <c r="AN337" s="6">
        <f>ROUND(AK337*0.2+AJ337*0.2+AI337*0.2+AH337*0.15+AG337*0.1+AL337*0.05+AM337*0.1,3)</f>
        <v/>
      </c>
      <c r="AO337" s="6">
        <f>IFERROR(ROUND(AN337/(AC337+0.0001),3),"")</f>
        <v/>
      </c>
      <c r="AP337" s="6">
        <f>IFERROR(ROUND(AN337/(AB337/1000),3),"")</f>
        <v/>
      </c>
    </row>
    <row r="338">
      <c r="AN338" s="6">
        <f>ROUND(AK338*0.2+AJ338*0.2+AI338*0.2+AH338*0.15+AG338*0.1+AL338*0.05+AM338*0.1,3)</f>
        <v/>
      </c>
      <c r="AO338" s="6">
        <f>IFERROR(ROUND(AN338/(AC338+0.0001),3),"")</f>
        <v/>
      </c>
      <c r="AP338" s="6">
        <f>IFERROR(ROUND(AN338/(AB338/1000),3),"")</f>
        <v/>
      </c>
    </row>
    <row r="339">
      <c r="AN339" s="6">
        <f>ROUND(AK339*0.2+AJ339*0.2+AI339*0.2+AH339*0.15+AG339*0.1+AL339*0.05+AM339*0.1,3)</f>
        <v/>
      </c>
      <c r="AO339" s="6">
        <f>IFERROR(ROUND(AN339/(AC339+0.0001),3),"")</f>
        <v/>
      </c>
      <c r="AP339" s="6">
        <f>IFERROR(ROUND(AN339/(AB339/1000),3),"")</f>
        <v/>
      </c>
    </row>
    <row r="340">
      <c r="AN340" s="6">
        <f>ROUND(AK340*0.2+AJ340*0.2+AI340*0.2+AH340*0.15+AG340*0.1+AL340*0.05+AM340*0.1,3)</f>
        <v/>
      </c>
      <c r="AO340" s="6">
        <f>IFERROR(ROUND(AN340/(AC340+0.0001),3),"")</f>
        <v/>
      </c>
      <c r="AP340" s="6">
        <f>IFERROR(ROUND(AN340/(AB340/1000),3),"")</f>
        <v/>
      </c>
    </row>
    <row r="341">
      <c r="AN341" s="6">
        <f>ROUND(AK341*0.2+AJ341*0.2+AI341*0.2+AH341*0.15+AG341*0.1+AL341*0.05+AM341*0.1,3)</f>
        <v/>
      </c>
      <c r="AO341" s="6">
        <f>IFERROR(ROUND(AN341/(AC341+0.0001),3),"")</f>
        <v/>
      </c>
      <c r="AP341" s="6">
        <f>IFERROR(ROUND(AN341/(AB341/1000),3),"")</f>
        <v/>
      </c>
    </row>
    <row r="342">
      <c r="AN342" s="6">
        <f>ROUND(AK342*0.2+AJ342*0.2+AI342*0.2+AH342*0.15+AG342*0.1+AL342*0.05+AM342*0.1,3)</f>
        <v/>
      </c>
      <c r="AO342" s="6">
        <f>IFERROR(ROUND(AN342/(AC342+0.0001),3),"")</f>
        <v/>
      </c>
      <c r="AP342" s="6">
        <f>IFERROR(ROUND(AN342/(AB342/1000),3),"")</f>
        <v/>
      </c>
    </row>
    <row r="343">
      <c r="AN343" s="6">
        <f>ROUND(AK343*0.2+AJ343*0.2+AI343*0.2+AH343*0.15+AG343*0.1+AL343*0.05+AM343*0.1,3)</f>
        <v/>
      </c>
      <c r="AO343" s="6">
        <f>IFERROR(ROUND(AN343/(AC343+0.0001),3),"")</f>
        <v/>
      </c>
      <c r="AP343" s="6">
        <f>IFERROR(ROUND(AN343/(AB343/1000),3),"")</f>
        <v/>
      </c>
    </row>
    <row r="344">
      <c r="AN344" s="6">
        <f>ROUND(AK344*0.2+AJ344*0.2+AI344*0.2+AH344*0.15+AG344*0.1+AL344*0.05+AM344*0.1,3)</f>
        <v/>
      </c>
      <c r="AO344" s="6">
        <f>IFERROR(ROUND(AN344/(AC344+0.0001),3),"")</f>
        <v/>
      </c>
      <c r="AP344" s="6">
        <f>IFERROR(ROUND(AN344/(AB344/1000),3),"")</f>
        <v/>
      </c>
    </row>
    <row r="345">
      <c r="AN345" s="6">
        <f>ROUND(AK345*0.2+AJ345*0.2+AI345*0.2+AH345*0.15+AG345*0.1+AL345*0.05+AM345*0.1,3)</f>
        <v/>
      </c>
      <c r="AO345" s="6">
        <f>IFERROR(ROUND(AN345/(AC345+0.0001),3),"")</f>
        <v/>
      </c>
      <c r="AP345" s="6">
        <f>IFERROR(ROUND(AN345/(AB345/1000),3),"")</f>
        <v/>
      </c>
    </row>
    <row r="346">
      <c r="AN346" s="6">
        <f>ROUND(AK346*0.2+AJ346*0.2+AI346*0.2+AH346*0.15+AG346*0.1+AL346*0.05+AM346*0.1,3)</f>
        <v/>
      </c>
      <c r="AO346" s="6">
        <f>IFERROR(ROUND(AN346/(AC346+0.0001),3),"")</f>
        <v/>
      </c>
      <c r="AP346" s="6">
        <f>IFERROR(ROUND(AN346/(AB346/1000),3),"")</f>
        <v/>
      </c>
    </row>
    <row r="347">
      <c r="AN347" s="6">
        <f>ROUND(AK347*0.2+AJ347*0.2+AI347*0.2+AH347*0.15+AG347*0.1+AL347*0.05+AM347*0.1,3)</f>
        <v/>
      </c>
      <c r="AO347" s="6">
        <f>IFERROR(ROUND(AN347/(AC347+0.0001),3),"")</f>
        <v/>
      </c>
      <c r="AP347" s="6">
        <f>IFERROR(ROUND(AN347/(AB347/1000),3),"")</f>
        <v/>
      </c>
    </row>
    <row r="348">
      <c r="AN348" s="6">
        <f>ROUND(AK348*0.2+AJ348*0.2+AI348*0.2+AH348*0.15+AG348*0.1+AL348*0.05+AM348*0.1,3)</f>
        <v/>
      </c>
      <c r="AO348" s="6">
        <f>IFERROR(ROUND(AN348/(AC348+0.0001),3),"")</f>
        <v/>
      </c>
      <c r="AP348" s="6">
        <f>IFERROR(ROUND(AN348/(AB348/1000),3),"")</f>
        <v/>
      </c>
    </row>
    <row r="349">
      <c r="AN349" s="6">
        <f>ROUND(AK349*0.2+AJ349*0.2+AI349*0.2+AH349*0.15+AG349*0.1+AL349*0.05+AM349*0.1,3)</f>
        <v/>
      </c>
      <c r="AO349" s="6">
        <f>IFERROR(ROUND(AN349/(AC349+0.0001),3),"")</f>
        <v/>
      </c>
      <c r="AP349" s="6">
        <f>IFERROR(ROUND(AN349/(AB349/1000),3),"")</f>
        <v/>
      </c>
    </row>
    <row r="350">
      <c r="AN350" s="6">
        <f>ROUND(AK350*0.2+AJ350*0.2+AI350*0.2+AH350*0.15+AG350*0.1+AL350*0.05+AM350*0.1,3)</f>
        <v/>
      </c>
      <c r="AO350" s="6">
        <f>IFERROR(ROUND(AN350/(AC350+0.0001),3),"")</f>
        <v/>
      </c>
      <c r="AP350" s="6">
        <f>IFERROR(ROUND(AN350/(AB350/1000),3),"")</f>
        <v/>
      </c>
    </row>
    <row r="351">
      <c r="AN351" s="6">
        <f>ROUND(AK351*0.2+AJ351*0.2+AI351*0.2+AH351*0.15+AG351*0.1+AL351*0.05+AM351*0.1,3)</f>
        <v/>
      </c>
      <c r="AO351" s="6">
        <f>IFERROR(ROUND(AN351/(AC351+0.0001),3),"")</f>
        <v/>
      </c>
      <c r="AP351" s="6">
        <f>IFERROR(ROUND(AN351/(AB351/1000),3),"")</f>
        <v/>
      </c>
    </row>
    <row r="352">
      <c r="AN352" s="6">
        <f>ROUND(AK352*0.2+AJ352*0.2+AI352*0.2+AH352*0.15+AG352*0.1+AL352*0.05+AM352*0.1,3)</f>
        <v/>
      </c>
      <c r="AO352" s="6">
        <f>IFERROR(ROUND(AN352/(AC352+0.0001),3),"")</f>
        <v/>
      </c>
      <c r="AP352" s="6">
        <f>IFERROR(ROUND(AN352/(AB352/1000),3),"")</f>
        <v/>
      </c>
    </row>
    <row r="353">
      <c r="AN353" s="6">
        <f>ROUND(AK353*0.2+AJ353*0.2+AI353*0.2+AH353*0.15+AG353*0.1+AL353*0.05+AM353*0.1,3)</f>
        <v/>
      </c>
      <c r="AO353" s="6">
        <f>IFERROR(ROUND(AN353/(AC353+0.0001),3),"")</f>
        <v/>
      </c>
      <c r="AP353" s="6">
        <f>IFERROR(ROUND(AN353/(AB353/1000),3),"")</f>
        <v/>
      </c>
    </row>
    <row r="354">
      <c r="AN354" s="6">
        <f>ROUND(AK354*0.2+AJ354*0.2+AI354*0.2+AH354*0.15+AG354*0.1+AL354*0.05+AM354*0.1,3)</f>
        <v/>
      </c>
      <c r="AO354" s="6">
        <f>IFERROR(ROUND(AN354/(AC354+0.0001),3),"")</f>
        <v/>
      </c>
      <c r="AP354" s="6">
        <f>IFERROR(ROUND(AN354/(AB354/1000),3),"")</f>
        <v/>
      </c>
    </row>
    <row r="355">
      <c r="AN355" s="6">
        <f>ROUND(AK355*0.2+AJ355*0.2+AI355*0.2+AH355*0.15+AG355*0.1+AL355*0.05+AM355*0.1,3)</f>
        <v/>
      </c>
      <c r="AO355" s="6">
        <f>IFERROR(ROUND(AN355/(AC355+0.0001),3),"")</f>
        <v/>
      </c>
      <c r="AP355" s="6">
        <f>IFERROR(ROUND(AN355/(AB355/1000),3),"")</f>
        <v/>
      </c>
    </row>
    <row r="356">
      <c r="AN356" s="6">
        <f>ROUND(AK356*0.2+AJ356*0.2+AI356*0.2+AH356*0.15+AG356*0.1+AL356*0.05+AM356*0.1,3)</f>
        <v/>
      </c>
      <c r="AO356" s="6">
        <f>IFERROR(ROUND(AN356/(AC356+0.0001),3),"")</f>
        <v/>
      </c>
      <c r="AP356" s="6">
        <f>IFERROR(ROUND(AN356/(AB356/1000),3),"")</f>
        <v/>
      </c>
    </row>
    <row r="357">
      <c r="AN357" s="6">
        <f>ROUND(AK357*0.2+AJ357*0.2+AI357*0.2+AH357*0.15+AG357*0.1+AL357*0.05+AM357*0.1,3)</f>
        <v/>
      </c>
      <c r="AO357" s="6">
        <f>IFERROR(ROUND(AN357/(AC357+0.0001),3),"")</f>
        <v/>
      </c>
      <c r="AP357" s="6">
        <f>IFERROR(ROUND(AN357/(AB357/1000),3),"")</f>
        <v/>
      </c>
    </row>
    <row r="358">
      <c r="AN358" s="6">
        <f>ROUND(AK358*0.2+AJ358*0.2+AI358*0.2+AH358*0.15+AG358*0.1+AL358*0.05+AM358*0.1,3)</f>
        <v/>
      </c>
      <c r="AO358" s="6">
        <f>IFERROR(ROUND(AN358/(AC358+0.0001),3),"")</f>
        <v/>
      </c>
      <c r="AP358" s="6">
        <f>IFERROR(ROUND(AN358/(AB358/1000),3),"")</f>
        <v/>
      </c>
    </row>
    <row r="359">
      <c r="AN359" s="6">
        <f>ROUND(AK359*0.2+AJ359*0.2+AI359*0.2+AH359*0.15+AG359*0.1+AL359*0.05+AM359*0.1,3)</f>
        <v/>
      </c>
      <c r="AO359" s="6">
        <f>IFERROR(ROUND(AN359/(AC359+0.0001),3),"")</f>
        <v/>
      </c>
      <c r="AP359" s="6">
        <f>IFERROR(ROUND(AN359/(AB359/1000),3),"")</f>
        <v/>
      </c>
    </row>
    <row r="360">
      <c r="AN360" s="6">
        <f>ROUND(AK360*0.2+AJ360*0.2+AI360*0.2+AH360*0.15+AG360*0.1+AL360*0.05+AM360*0.1,3)</f>
        <v/>
      </c>
      <c r="AO360" s="6">
        <f>IFERROR(ROUND(AN360/(AC360+0.0001),3),"")</f>
        <v/>
      </c>
      <c r="AP360" s="6">
        <f>IFERROR(ROUND(AN360/(AB360/1000),3),"")</f>
        <v/>
      </c>
    </row>
    <row r="361">
      <c r="AN361" s="6">
        <f>ROUND(AK361*0.2+AJ361*0.2+AI361*0.2+AH361*0.15+AG361*0.1+AL361*0.05+AM361*0.1,3)</f>
        <v/>
      </c>
      <c r="AO361" s="6">
        <f>IFERROR(ROUND(AN361/(AC361+0.0001),3),"")</f>
        <v/>
      </c>
      <c r="AP361" s="6">
        <f>IFERROR(ROUND(AN361/(AB361/1000),3),"")</f>
        <v/>
      </c>
    </row>
    <row r="362">
      <c r="AN362" s="6">
        <f>ROUND(AK362*0.2+AJ362*0.2+AI362*0.2+AH362*0.15+AG362*0.1+AL362*0.05+AM362*0.1,3)</f>
        <v/>
      </c>
      <c r="AO362" s="6">
        <f>IFERROR(ROUND(AN362/(AC362+0.0001),3),"")</f>
        <v/>
      </c>
      <c r="AP362" s="6">
        <f>IFERROR(ROUND(AN362/(AB362/1000),3),"")</f>
        <v/>
      </c>
    </row>
    <row r="363">
      <c r="AN363" s="6">
        <f>ROUND(AK363*0.2+AJ363*0.2+AI363*0.2+AH363*0.15+AG363*0.1+AL363*0.05+AM363*0.1,3)</f>
        <v/>
      </c>
      <c r="AO363" s="6">
        <f>IFERROR(ROUND(AN363/(AC363+0.0001),3),"")</f>
        <v/>
      </c>
      <c r="AP363" s="6">
        <f>IFERROR(ROUND(AN363/(AB363/1000),3),"")</f>
        <v/>
      </c>
    </row>
    <row r="364">
      <c r="AN364" s="6">
        <f>ROUND(AK364*0.2+AJ364*0.2+AI364*0.2+AH364*0.15+AG364*0.1+AL364*0.05+AM364*0.1,3)</f>
        <v/>
      </c>
      <c r="AO364" s="6">
        <f>IFERROR(ROUND(AN364/(AC364+0.0001),3),"")</f>
        <v/>
      </c>
      <c r="AP364" s="6">
        <f>IFERROR(ROUND(AN364/(AB364/1000),3),"")</f>
        <v/>
      </c>
    </row>
    <row r="365">
      <c r="AN365" s="6">
        <f>ROUND(AK365*0.2+AJ365*0.2+AI365*0.2+AH365*0.15+AG365*0.1+AL365*0.05+AM365*0.1,3)</f>
        <v/>
      </c>
      <c r="AO365" s="6">
        <f>IFERROR(ROUND(AN365/(AC365+0.0001),3),"")</f>
        <v/>
      </c>
      <c r="AP365" s="6">
        <f>IFERROR(ROUND(AN365/(AB365/1000),3),"")</f>
        <v/>
      </c>
    </row>
    <row r="366">
      <c r="AN366" s="6">
        <f>ROUND(AK366*0.2+AJ366*0.2+AI366*0.2+AH366*0.15+AG366*0.1+AL366*0.05+AM366*0.1,3)</f>
        <v/>
      </c>
      <c r="AO366" s="6">
        <f>IFERROR(ROUND(AN366/(AC366+0.0001),3),"")</f>
        <v/>
      </c>
      <c r="AP366" s="6">
        <f>IFERROR(ROUND(AN366/(AB366/1000),3),"")</f>
        <v/>
      </c>
    </row>
    <row r="367">
      <c r="AN367" s="6">
        <f>ROUND(AK367*0.2+AJ367*0.2+AI367*0.2+AH367*0.15+AG367*0.1+AL367*0.05+AM367*0.1,3)</f>
        <v/>
      </c>
      <c r="AO367" s="6">
        <f>IFERROR(ROUND(AN367/(AC367+0.0001),3),"")</f>
        <v/>
      </c>
      <c r="AP367" s="6">
        <f>IFERROR(ROUND(AN367/(AB367/1000),3),"")</f>
        <v/>
      </c>
    </row>
    <row r="368">
      <c r="AN368" s="6">
        <f>ROUND(AK368*0.2+AJ368*0.2+AI368*0.2+AH368*0.15+AG368*0.1+AL368*0.05+AM368*0.1,3)</f>
        <v/>
      </c>
      <c r="AO368" s="6">
        <f>IFERROR(ROUND(AN368/(AC368+0.0001),3),"")</f>
        <v/>
      </c>
      <c r="AP368" s="6">
        <f>IFERROR(ROUND(AN368/(AB368/1000),3),"")</f>
        <v/>
      </c>
    </row>
    <row r="369">
      <c r="AN369" s="6">
        <f>ROUND(AK369*0.2+AJ369*0.2+AI369*0.2+AH369*0.15+AG369*0.1+AL369*0.05+AM369*0.1,3)</f>
        <v/>
      </c>
      <c r="AO369" s="6">
        <f>IFERROR(ROUND(AN369/(AC369+0.0001),3),"")</f>
        <v/>
      </c>
      <c r="AP369" s="6">
        <f>IFERROR(ROUND(AN369/(AB369/1000),3),"")</f>
        <v/>
      </c>
    </row>
    <row r="370">
      <c r="AN370" s="6">
        <f>ROUND(AK370*0.2+AJ370*0.2+AI370*0.2+AH370*0.15+AG370*0.1+AL370*0.05+AM370*0.1,3)</f>
        <v/>
      </c>
      <c r="AO370" s="6">
        <f>IFERROR(ROUND(AN370/(AC370+0.0001),3),"")</f>
        <v/>
      </c>
      <c r="AP370" s="6">
        <f>IFERROR(ROUND(AN370/(AB370/1000),3),"")</f>
        <v/>
      </c>
    </row>
    <row r="371">
      <c r="AN371" s="6">
        <f>ROUND(AK371*0.2+AJ371*0.2+AI371*0.2+AH371*0.15+AG371*0.1+AL371*0.05+AM371*0.1,3)</f>
        <v/>
      </c>
      <c r="AO371" s="6">
        <f>IFERROR(ROUND(AN371/(AC371+0.0001),3),"")</f>
        <v/>
      </c>
      <c r="AP371" s="6">
        <f>IFERROR(ROUND(AN371/(AB371/1000),3),"")</f>
        <v/>
      </c>
    </row>
    <row r="372">
      <c r="AN372" s="6">
        <f>ROUND(AK372*0.2+AJ372*0.2+AI372*0.2+AH372*0.15+AG372*0.1+AL372*0.05+AM372*0.1,3)</f>
        <v/>
      </c>
      <c r="AO372" s="6">
        <f>IFERROR(ROUND(AN372/(AC372+0.0001),3),"")</f>
        <v/>
      </c>
      <c r="AP372" s="6">
        <f>IFERROR(ROUND(AN372/(AB372/1000),3),"")</f>
        <v/>
      </c>
    </row>
    <row r="373">
      <c r="AN373" s="6">
        <f>ROUND(AK373*0.2+AJ373*0.2+AI373*0.2+AH373*0.15+AG373*0.1+AL373*0.05+AM373*0.1,3)</f>
        <v/>
      </c>
      <c r="AO373" s="6">
        <f>IFERROR(ROUND(AN373/(AC373+0.0001),3),"")</f>
        <v/>
      </c>
      <c r="AP373" s="6">
        <f>IFERROR(ROUND(AN373/(AB373/1000),3),"")</f>
        <v/>
      </c>
    </row>
    <row r="374">
      <c r="AN374" s="6">
        <f>ROUND(AK374*0.2+AJ374*0.2+AI374*0.2+AH374*0.15+AG374*0.1+AL374*0.05+AM374*0.1,3)</f>
        <v/>
      </c>
      <c r="AO374" s="6">
        <f>IFERROR(ROUND(AN374/(AC374+0.0001),3),"")</f>
        <v/>
      </c>
      <c r="AP374" s="6">
        <f>IFERROR(ROUND(AN374/(AB374/1000),3),"")</f>
        <v/>
      </c>
    </row>
    <row r="375">
      <c r="AN375" s="6">
        <f>ROUND(AK375*0.2+AJ375*0.2+AI375*0.2+AH375*0.15+AG375*0.1+AL375*0.05+AM375*0.1,3)</f>
        <v/>
      </c>
      <c r="AO375" s="6">
        <f>IFERROR(ROUND(AN375/(AC375+0.0001),3),"")</f>
        <v/>
      </c>
      <c r="AP375" s="6">
        <f>IFERROR(ROUND(AN375/(AB375/1000),3),"")</f>
        <v/>
      </c>
    </row>
    <row r="376">
      <c r="AN376" s="6">
        <f>ROUND(AK376*0.2+AJ376*0.2+AI376*0.2+AH376*0.15+AG376*0.1+AL376*0.05+AM376*0.1,3)</f>
        <v/>
      </c>
      <c r="AO376" s="6">
        <f>IFERROR(ROUND(AN376/(AC376+0.0001),3),"")</f>
        <v/>
      </c>
      <c r="AP376" s="6">
        <f>IFERROR(ROUND(AN376/(AB376/1000),3),"")</f>
        <v/>
      </c>
    </row>
    <row r="377">
      <c r="AN377" s="6">
        <f>ROUND(AK377*0.2+AJ377*0.2+AI377*0.2+AH377*0.15+AG377*0.1+AL377*0.05+AM377*0.1,3)</f>
        <v/>
      </c>
      <c r="AO377" s="6">
        <f>IFERROR(ROUND(AN377/(AC377+0.0001),3),"")</f>
        <v/>
      </c>
      <c r="AP377" s="6">
        <f>IFERROR(ROUND(AN377/(AB377/1000),3),"")</f>
        <v/>
      </c>
    </row>
    <row r="378">
      <c r="AN378" s="6">
        <f>ROUND(AK378*0.2+AJ378*0.2+AI378*0.2+AH378*0.15+AG378*0.1+AL378*0.05+AM378*0.1,3)</f>
        <v/>
      </c>
      <c r="AO378" s="6">
        <f>IFERROR(ROUND(AN378/(AC378+0.0001),3),"")</f>
        <v/>
      </c>
      <c r="AP378" s="6">
        <f>IFERROR(ROUND(AN378/(AB378/1000),3),"")</f>
        <v/>
      </c>
    </row>
    <row r="379">
      <c r="AN379" s="6">
        <f>ROUND(AK379*0.2+AJ379*0.2+AI379*0.2+AH379*0.15+AG379*0.1+AL379*0.05+AM379*0.1,3)</f>
        <v/>
      </c>
      <c r="AO379" s="6">
        <f>IFERROR(ROUND(AN379/(AC379+0.0001),3),"")</f>
        <v/>
      </c>
      <c r="AP379" s="6">
        <f>IFERROR(ROUND(AN379/(AB379/1000),3),"")</f>
        <v/>
      </c>
    </row>
    <row r="380">
      <c r="AN380" s="6">
        <f>ROUND(AK380*0.2+AJ380*0.2+AI380*0.2+AH380*0.15+AG380*0.1+AL380*0.05+AM380*0.1,3)</f>
        <v/>
      </c>
      <c r="AO380" s="6">
        <f>IFERROR(ROUND(AN380/(AC380+0.0001),3),"")</f>
        <v/>
      </c>
      <c r="AP380" s="6">
        <f>IFERROR(ROUND(AN380/(AB380/1000),3),"")</f>
        <v/>
      </c>
    </row>
    <row r="381">
      <c r="AN381" s="6">
        <f>ROUND(AK381*0.2+AJ381*0.2+AI381*0.2+AH381*0.15+AG381*0.1+AL381*0.05+AM381*0.1,3)</f>
        <v/>
      </c>
      <c r="AO381" s="6">
        <f>IFERROR(ROUND(AN381/(AC381+0.0001),3),"")</f>
        <v/>
      </c>
      <c r="AP381" s="6">
        <f>IFERROR(ROUND(AN381/(AB381/1000),3),"")</f>
        <v/>
      </c>
    </row>
    <row r="382">
      <c r="AN382" s="6">
        <f>ROUND(AK382*0.2+AJ382*0.2+AI382*0.2+AH382*0.15+AG382*0.1+AL382*0.05+AM382*0.1,3)</f>
        <v/>
      </c>
      <c r="AO382" s="6">
        <f>IFERROR(ROUND(AN382/(AC382+0.0001),3),"")</f>
        <v/>
      </c>
      <c r="AP382" s="6">
        <f>IFERROR(ROUND(AN382/(AB382/1000),3),"")</f>
        <v/>
      </c>
    </row>
    <row r="383">
      <c r="AN383" s="6">
        <f>ROUND(AK383*0.2+AJ383*0.2+AI383*0.2+AH383*0.15+AG383*0.1+AL383*0.05+AM383*0.1,3)</f>
        <v/>
      </c>
      <c r="AO383" s="6">
        <f>IFERROR(ROUND(AN383/(AC383+0.0001),3),"")</f>
        <v/>
      </c>
      <c r="AP383" s="6">
        <f>IFERROR(ROUND(AN383/(AB383/1000),3),"")</f>
        <v/>
      </c>
    </row>
    <row r="384">
      <c r="AN384" s="6">
        <f>ROUND(AK384*0.2+AJ384*0.2+AI384*0.2+AH384*0.15+AG384*0.1+AL384*0.05+AM384*0.1,3)</f>
        <v/>
      </c>
      <c r="AO384" s="6">
        <f>IFERROR(ROUND(AN384/(AC384+0.0001),3),"")</f>
        <v/>
      </c>
      <c r="AP384" s="6">
        <f>IFERROR(ROUND(AN384/(AB384/1000),3),"")</f>
        <v/>
      </c>
    </row>
    <row r="385">
      <c r="AN385" s="6">
        <f>ROUND(AK385*0.2+AJ385*0.2+AI385*0.2+AH385*0.15+AG385*0.1+AL385*0.05+AM385*0.1,3)</f>
        <v/>
      </c>
      <c r="AO385" s="6">
        <f>IFERROR(ROUND(AN385/(AC385+0.0001),3),"")</f>
        <v/>
      </c>
      <c r="AP385" s="6">
        <f>IFERROR(ROUND(AN385/(AB385/1000),3),"")</f>
        <v/>
      </c>
    </row>
    <row r="386">
      <c r="AN386" s="6">
        <f>ROUND(AK386*0.2+AJ386*0.2+AI386*0.2+AH386*0.15+AG386*0.1+AL386*0.05+AM386*0.1,3)</f>
        <v/>
      </c>
      <c r="AO386" s="6">
        <f>IFERROR(ROUND(AN386/(AC386+0.0001),3),"")</f>
        <v/>
      </c>
      <c r="AP386" s="6">
        <f>IFERROR(ROUND(AN386/(AB386/1000),3),"")</f>
        <v/>
      </c>
    </row>
    <row r="387">
      <c r="AN387" s="6">
        <f>ROUND(AK387*0.2+AJ387*0.2+AI387*0.2+AH387*0.15+AG387*0.1+AL387*0.05+AM387*0.1,3)</f>
        <v/>
      </c>
      <c r="AO387" s="6">
        <f>IFERROR(ROUND(AN387/(AC387+0.0001),3),"")</f>
        <v/>
      </c>
      <c r="AP387" s="6">
        <f>IFERROR(ROUND(AN387/(AB387/1000),3),"")</f>
        <v/>
      </c>
    </row>
    <row r="388">
      <c r="AN388" s="6">
        <f>ROUND(AK388*0.2+AJ388*0.2+AI388*0.2+AH388*0.15+AG388*0.1+AL388*0.05+AM388*0.1,3)</f>
        <v/>
      </c>
      <c r="AO388" s="6">
        <f>IFERROR(ROUND(AN388/(AC388+0.0001),3),"")</f>
        <v/>
      </c>
      <c r="AP388" s="6">
        <f>IFERROR(ROUND(AN388/(AB388/1000),3),"")</f>
        <v/>
      </c>
    </row>
    <row r="389">
      <c r="AN389" s="6">
        <f>ROUND(AK389*0.2+AJ389*0.2+AI389*0.2+AH389*0.15+AG389*0.1+AL389*0.05+AM389*0.1,3)</f>
        <v/>
      </c>
      <c r="AO389" s="6">
        <f>IFERROR(ROUND(AN389/(AC389+0.0001),3),"")</f>
        <v/>
      </c>
      <c r="AP389" s="6">
        <f>IFERROR(ROUND(AN389/(AB389/1000),3),"")</f>
        <v/>
      </c>
    </row>
    <row r="390">
      <c r="AN390" s="6">
        <f>ROUND(AK390*0.2+AJ390*0.2+AI390*0.2+AH390*0.15+AG390*0.1+AL390*0.05+AM390*0.1,3)</f>
        <v/>
      </c>
      <c r="AO390" s="6">
        <f>IFERROR(ROUND(AN390/(AC390+0.0001),3),"")</f>
        <v/>
      </c>
      <c r="AP390" s="6">
        <f>IFERROR(ROUND(AN390/(AB390/1000),3),"")</f>
        <v/>
      </c>
    </row>
    <row r="391">
      <c r="AN391" s="6">
        <f>ROUND(AK391*0.2+AJ391*0.2+AI391*0.2+AH391*0.15+AG391*0.1+AL391*0.05+AM391*0.1,3)</f>
        <v/>
      </c>
      <c r="AO391" s="6">
        <f>IFERROR(ROUND(AN391/(AC391+0.0001),3),"")</f>
        <v/>
      </c>
      <c r="AP391" s="6">
        <f>IFERROR(ROUND(AN391/(AB391/1000),3),"")</f>
        <v/>
      </c>
    </row>
    <row r="392">
      <c r="AN392" s="6">
        <f>ROUND(AK392*0.2+AJ392*0.2+AI392*0.2+AH392*0.15+AG392*0.1+AL392*0.05+AM392*0.1,3)</f>
        <v/>
      </c>
      <c r="AO392" s="6">
        <f>IFERROR(ROUND(AN392/(AC392+0.0001),3),"")</f>
        <v/>
      </c>
      <c r="AP392" s="6">
        <f>IFERROR(ROUND(AN392/(AB392/1000),3),"")</f>
        <v/>
      </c>
    </row>
    <row r="393">
      <c r="AN393" s="6">
        <f>ROUND(AK393*0.2+AJ393*0.2+AI393*0.2+AH393*0.15+AG393*0.1+AL393*0.05+AM393*0.1,3)</f>
        <v/>
      </c>
      <c r="AO393" s="6">
        <f>IFERROR(ROUND(AN393/(AC393+0.0001),3),"")</f>
        <v/>
      </c>
      <c r="AP393" s="6">
        <f>IFERROR(ROUND(AN393/(AB393/1000),3),"")</f>
        <v/>
      </c>
    </row>
    <row r="394">
      <c r="AN394" s="6">
        <f>ROUND(AK394*0.2+AJ394*0.2+AI394*0.2+AH394*0.15+AG394*0.1+AL394*0.05+AM394*0.1,3)</f>
        <v/>
      </c>
      <c r="AO394" s="6">
        <f>IFERROR(ROUND(AN394/(AC394+0.0001),3),"")</f>
        <v/>
      </c>
      <c r="AP394" s="6">
        <f>IFERROR(ROUND(AN394/(AB394/1000),3),"")</f>
        <v/>
      </c>
    </row>
    <row r="395">
      <c r="AN395" s="6">
        <f>ROUND(AK395*0.2+AJ395*0.2+AI395*0.2+AH395*0.15+AG395*0.1+AL395*0.05+AM395*0.1,3)</f>
        <v/>
      </c>
      <c r="AO395" s="6">
        <f>IFERROR(ROUND(AN395/(AC395+0.0001),3),"")</f>
        <v/>
      </c>
      <c r="AP395" s="6">
        <f>IFERROR(ROUND(AN395/(AB395/1000),3),"")</f>
        <v/>
      </c>
    </row>
    <row r="396">
      <c r="AN396" s="6">
        <f>ROUND(AK396*0.2+AJ396*0.2+AI396*0.2+AH396*0.15+AG396*0.1+AL396*0.05+AM396*0.1,3)</f>
        <v/>
      </c>
      <c r="AO396" s="6">
        <f>IFERROR(ROUND(AN396/(AC396+0.0001),3),"")</f>
        <v/>
      </c>
      <c r="AP396" s="6">
        <f>IFERROR(ROUND(AN396/(AB396/1000),3),"")</f>
        <v/>
      </c>
    </row>
    <row r="397">
      <c r="AN397" s="6">
        <f>ROUND(AK397*0.2+AJ397*0.2+AI397*0.2+AH397*0.15+AG397*0.1+AL397*0.05+AM397*0.1,3)</f>
        <v/>
      </c>
      <c r="AO397" s="6">
        <f>IFERROR(ROUND(AN397/(AC397+0.0001),3),"")</f>
        <v/>
      </c>
      <c r="AP397" s="6">
        <f>IFERROR(ROUND(AN397/(AB397/1000),3),"")</f>
        <v/>
      </c>
    </row>
    <row r="398">
      <c r="AN398" s="6">
        <f>ROUND(AK398*0.2+AJ398*0.2+AI398*0.2+AH398*0.15+AG398*0.1+AL398*0.05+AM398*0.1,3)</f>
        <v/>
      </c>
      <c r="AO398" s="6">
        <f>IFERROR(ROUND(AN398/(AC398+0.0001),3),"")</f>
        <v/>
      </c>
      <c r="AP398" s="6">
        <f>IFERROR(ROUND(AN398/(AB398/1000),3),"")</f>
        <v/>
      </c>
    </row>
    <row r="399">
      <c r="AN399" s="6">
        <f>ROUND(AK399*0.2+AJ399*0.2+AI399*0.2+AH399*0.15+AG399*0.1+AL399*0.05+AM399*0.1,3)</f>
        <v/>
      </c>
      <c r="AO399" s="6">
        <f>IFERROR(ROUND(AN399/(AC399+0.0001),3),"")</f>
        <v/>
      </c>
      <c r="AP399" s="6">
        <f>IFERROR(ROUND(AN399/(AB399/1000),3),"")</f>
        <v/>
      </c>
    </row>
    <row r="400">
      <c r="AN400" s="6">
        <f>ROUND(AK400*0.2+AJ400*0.2+AI400*0.2+AH400*0.15+AG400*0.1+AL400*0.05+AM400*0.1,3)</f>
        <v/>
      </c>
      <c r="AO400" s="6">
        <f>IFERROR(ROUND(AN400/(AC400+0.0001),3),"")</f>
        <v/>
      </c>
      <c r="AP400" s="6">
        <f>IFERROR(ROUND(AN400/(AB400/1000),3),"")</f>
        <v/>
      </c>
    </row>
    <row r="401">
      <c r="AN401" s="6">
        <f>ROUND(AK401*0.2+AJ401*0.2+AI401*0.2+AH401*0.15+AG401*0.1+AL401*0.05+AM401*0.1,3)</f>
        <v/>
      </c>
      <c r="AO401" s="6">
        <f>IFERROR(ROUND(AN401/(AC401+0.0001),3),"")</f>
        <v/>
      </c>
      <c r="AP401" s="6">
        <f>IFERROR(ROUND(AN401/(AB401/1000),3),"")</f>
        <v/>
      </c>
    </row>
    <row r="402">
      <c r="AN402" s="6">
        <f>ROUND(AK402*0.2+AJ402*0.2+AI402*0.2+AH402*0.15+AG402*0.1+AL402*0.05+AM402*0.1,3)</f>
        <v/>
      </c>
      <c r="AO402" s="6">
        <f>IFERROR(ROUND(AN402/(AC402+0.0001),3),"")</f>
        <v/>
      </c>
      <c r="AP402" s="6">
        <f>IFERROR(ROUND(AN402/(AB402/1000),3),"")</f>
        <v/>
      </c>
    </row>
    <row r="403">
      <c r="AN403" s="6">
        <f>ROUND(AK403*0.2+AJ403*0.2+AI403*0.2+AH403*0.15+AG403*0.1+AL403*0.05+AM403*0.1,3)</f>
        <v/>
      </c>
      <c r="AO403" s="6">
        <f>IFERROR(ROUND(AN403/(AC403+0.0001),3),"")</f>
        <v/>
      </c>
      <c r="AP403" s="6">
        <f>IFERROR(ROUND(AN403/(AB403/1000),3),"")</f>
        <v/>
      </c>
    </row>
    <row r="404">
      <c r="AN404" s="6">
        <f>ROUND(AK404*0.2+AJ404*0.2+AI404*0.2+AH404*0.15+AG404*0.1+AL404*0.05+AM404*0.1,3)</f>
        <v/>
      </c>
      <c r="AO404" s="6">
        <f>IFERROR(ROUND(AN404/(AC404+0.0001),3),"")</f>
        <v/>
      </c>
      <c r="AP404" s="6">
        <f>IFERROR(ROUND(AN404/(AB404/1000),3),"")</f>
        <v/>
      </c>
    </row>
    <row r="405">
      <c r="AN405" s="6">
        <f>ROUND(AK405*0.2+AJ405*0.2+AI405*0.2+AH405*0.15+AG405*0.1+AL405*0.05+AM405*0.1,3)</f>
        <v/>
      </c>
      <c r="AO405" s="6">
        <f>IFERROR(ROUND(AN405/(AC405+0.0001),3),"")</f>
        <v/>
      </c>
      <c r="AP405" s="6">
        <f>IFERROR(ROUND(AN405/(AB405/1000),3),"")</f>
        <v/>
      </c>
    </row>
    <row r="406">
      <c r="AN406" s="6">
        <f>ROUND(AK406*0.2+AJ406*0.2+AI406*0.2+AH406*0.15+AG406*0.1+AL406*0.05+AM406*0.1,3)</f>
        <v/>
      </c>
      <c r="AO406" s="6">
        <f>IFERROR(ROUND(AN406/(AC406+0.0001),3),"")</f>
        <v/>
      </c>
      <c r="AP406" s="6">
        <f>IFERROR(ROUND(AN406/(AB406/1000),3),"")</f>
        <v/>
      </c>
    </row>
    <row r="407">
      <c r="AN407" s="6">
        <f>ROUND(AK407*0.2+AJ407*0.2+AI407*0.2+AH407*0.15+AG407*0.1+AL407*0.05+AM407*0.1,3)</f>
        <v/>
      </c>
      <c r="AO407" s="6">
        <f>IFERROR(ROUND(AN407/(AC407+0.0001),3),"")</f>
        <v/>
      </c>
      <c r="AP407" s="6">
        <f>IFERROR(ROUND(AN407/(AB407/1000),3),"")</f>
        <v/>
      </c>
    </row>
    <row r="408">
      <c r="AN408" s="6">
        <f>ROUND(AK408*0.2+AJ408*0.2+AI408*0.2+AH408*0.15+AG408*0.1+AL408*0.05+AM408*0.1,3)</f>
        <v/>
      </c>
      <c r="AO408" s="6">
        <f>IFERROR(ROUND(AN408/(AC408+0.0001),3),"")</f>
        <v/>
      </c>
      <c r="AP408" s="6">
        <f>IFERROR(ROUND(AN408/(AB408/1000),3),"")</f>
        <v/>
      </c>
    </row>
    <row r="409">
      <c r="AN409" s="6">
        <f>ROUND(AK409*0.2+AJ409*0.2+AI409*0.2+AH409*0.15+AG409*0.1+AL409*0.05+AM409*0.1,3)</f>
        <v/>
      </c>
      <c r="AO409" s="6">
        <f>IFERROR(ROUND(AN409/(AC409+0.0001),3),"")</f>
        <v/>
      </c>
      <c r="AP409" s="6">
        <f>IFERROR(ROUND(AN409/(AB409/1000),3),"")</f>
        <v/>
      </c>
    </row>
    <row r="410">
      <c r="AN410" s="6">
        <f>ROUND(AK410*0.2+AJ410*0.2+AI410*0.2+AH410*0.15+AG410*0.1+AL410*0.05+AM410*0.1,3)</f>
        <v/>
      </c>
      <c r="AO410" s="6">
        <f>IFERROR(ROUND(AN410/(AC410+0.0001),3),"")</f>
        <v/>
      </c>
      <c r="AP410" s="6">
        <f>IFERROR(ROUND(AN410/(AB410/1000),3),"")</f>
        <v/>
      </c>
    </row>
    <row r="411">
      <c r="AN411" s="6">
        <f>ROUND(AK411*0.2+AJ411*0.2+AI411*0.2+AH411*0.15+AG411*0.1+AL411*0.05+AM411*0.1,3)</f>
        <v/>
      </c>
      <c r="AO411" s="6">
        <f>IFERROR(ROUND(AN411/(AC411+0.0001),3),"")</f>
        <v/>
      </c>
      <c r="AP411" s="6">
        <f>IFERROR(ROUND(AN411/(AB411/1000),3),"")</f>
        <v/>
      </c>
    </row>
    <row r="412">
      <c r="AN412" s="6">
        <f>ROUND(AK412*0.2+AJ412*0.2+AI412*0.2+AH412*0.15+AG412*0.1+AL412*0.05+AM412*0.1,3)</f>
        <v/>
      </c>
      <c r="AO412" s="6">
        <f>IFERROR(ROUND(AN412/(AC412+0.0001),3),"")</f>
        <v/>
      </c>
      <c r="AP412" s="6">
        <f>IFERROR(ROUND(AN412/(AB412/1000),3),"")</f>
        <v/>
      </c>
    </row>
    <row r="413">
      <c r="AN413" s="6">
        <f>ROUND(AK413*0.2+AJ413*0.2+AI413*0.2+AH413*0.15+AG413*0.1+AL413*0.05+AM413*0.1,3)</f>
        <v/>
      </c>
      <c r="AO413" s="6">
        <f>IFERROR(ROUND(AN413/(AC413+0.0001),3),"")</f>
        <v/>
      </c>
      <c r="AP413" s="6">
        <f>IFERROR(ROUND(AN413/(AB413/1000),3),"")</f>
        <v/>
      </c>
    </row>
    <row r="414">
      <c r="AN414" s="6">
        <f>ROUND(AK414*0.2+AJ414*0.2+AI414*0.2+AH414*0.15+AG414*0.1+AL414*0.05+AM414*0.1,3)</f>
        <v/>
      </c>
      <c r="AO414" s="6">
        <f>IFERROR(ROUND(AN414/(AC414+0.0001),3),"")</f>
        <v/>
      </c>
      <c r="AP414" s="6">
        <f>IFERROR(ROUND(AN414/(AB414/1000),3),"")</f>
        <v/>
      </c>
    </row>
    <row r="415">
      <c r="AN415" s="6">
        <f>ROUND(AK415*0.2+AJ415*0.2+AI415*0.2+AH415*0.15+AG415*0.1+AL415*0.05+AM415*0.1,3)</f>
        <v/>
      </c>
      <c r="AO415" s="6">
        <f>IFERROR(ROUND(AN415/(AC415+0.0001),3),"")</f>
        <v/>
      </c>
      <c r="AP415" s="6">
        <f>IFERROR(ROUND(AN415/(AB415/1000),3),"")</f>
        <v/>
      </c>
    </row>
    <row r="416">
      <c r="AN416" s="6">
        <f>ROUND(AK416*0.2+AJ416*0.2+AI416*0.2+AH416*0.15+AG416*0.1+AL416*0.05+AM416*0.1,3)</f>
        <v/>
      </c>
      <c r="AO416" s="6">
        <f>IFERROR(ROUND(AN416/(AC416+0.0001),3),"")</f>
        <v/>
      </c>
      <c r="AP416" s="6">
        <f>IFERROR(ROUND(AN416/(AB416/1000),3),"")</f>
        <v/>
      </c>
    </row>
    <row r="417">
      <c r="AN417" s="6">
        <f>ROUND(AK417*0.2+AJ417*0.2+AI417*0.2+AH417*0.15+AG417*0.1+AL417*0.05+AM417*0.1,3)</f>
        <v/>
      </c>
      <c r="AO417" s="6">
        <f>IFERROR(ROUND(AN417/(AC417+0.0001),3),"")</f>
        <v/>
      </c>
      <c r="AP417" s="6">
        <f>IFERROR(ROUND(AN417/(AB417/1000),3),"")</f>
        <v/>
      </c>
    </row>
    <row r="418">
      <c r="AN418" s="6">
        <f>ROUND(AK418*0.2+AJ418*0.2+AI418*0.2+AH418*0.15+AG418*0.1+AL418*0.05+AM418*0.1,3)</f>
        <v/>
      </c>
      <c r="AO418" s="6">
        <f>IFERROR(ROUND(AN418/(AC418+0.0001),3),"")</f>
        <v/>
      </c>
      <c r="AP418" s="6">
        <f>IFERROR(ROUND(AN418/(AB418/1000),3),"")</f>
        <v/>
      </c>
    </row>
    <row r="419">
      <c r="AN419" s="6">
        <f>ROUND(AK419*0.2+AJ419*0.2+AI419*0.2+AH419*0.15+AG419*0.1+AL419*0.05+AM419*0.1,3)</f>
        <v/>
      </c>
      <c r="AO419" s="6">
        <f>IFERROR(ROUND(AN419/(AC419+0.0001),3),"")</f>
        <v/>
      </c>
      <c r="AP419" s="6">
        <f>IFERROR(ROUND(AN419/(AB419/1000),3),"")</f>
        <v/>
      </c>
    </row>
    <row r="420">
      <c r="AN420" s="6">
        <f>ROUND(AK420*0.2+AJ420*0.2+AI420*0.2+AH420*0.15+AG420*0.1+AL420*0.05+AM420*0.1,3)</f>
        <v/>
      </c>
      <c r="AO420" s="6">
        <f>IFERROR(ROUND(AN420/(AC420+0.0001),3),"")</f>
        <v/>
      </c>
      <c r="AP420" s="6">
        <f>IFERROR(ROUND(AN420/(AB420/1000),3),"")</f>
        <v/>
      </c>
    </row>
    <row r="421">
      <c r="AN421" s="6">
        <f>ROUND(AK421*0.2+AJ421*0.2+AI421*0.2+AH421*0.15+AG421*0.1+AL421*0.05+AM421*0.1,3)</f>
        <v/>
      </c>
      <c r="AO421" s="6">
        <f>IFERROR(ROUND(AN421/(AC421+0.0001),3),"")</f>
        <v/>
      </c>
      <c r="AP421" s="6">
        <f>IFERROR(ROUND(AN421/(AB421/1000),3),"")</f>
        <v/>
      </c>
    </row>
    <row r="422">
      <c r="AN422" s="6">
        <f>ROUND(AK422*0.2+AJ422*0.2+AI422*0.2+AH422*0.15+AG422*0.1+AL422*0.05+AM422*0.1,3)</f>
        <v/>
      </c>
      <c r="AO422" s="6">
        <f>IFERROR(ROUND(AN422/(AC422+0.0001),3),"")</f>
        <v/>
      </c>
      <c r="AP422" s="6">
        <f>IFERROR(ROUND(AN422/(AB422/1000),3),"")</f>
        <v/>
      </c>
    </row>
    <row r="423">
      <c r="AN423" s="6">
        <f>ROUND(AK423*0.2+AJ423*0.2+AI423*0.2+AH423*0.15+AG423*0.1+AL423*0.05+AM423*0.1,3)</f>
        <v/>
      </c>
      <c r="AO423" s="6">
        <f>IFERROR(ROUND(AN423/(AC423+0.0001),3),"")</f>
        <v/>
      </c>
      <c r="AP423" s="6">
        <f>IFERROR(ROUND(AN423/(AB423/1000),3),"")</f>
        <v/>
      </c>
    </row>
    <row r="424">
      <c r="AN424" s="6">
        <f>ROUND(AK424*0.2+AJ424*0.2+AI424*0.2+AH424*0.15+AG424*0.1+AL424*0.05+AM424*0.1,3)</f>
        <v/>
      </c>
      <c r="AO424" s="6">
        <f>IFERROR(ROUND(AN424/(AC424+0.0001),3),"")</f>
        <v/>
      </c>
      <c r="AP424" s="6">
        <f>IFERROR(ROUND(AN424/(AB424/1000),3),"")</f>
        <v/>
      </c>
    </row>
    <row r="425">
      <c r="AN425" s="6">
        <f>ROUND(AK425*0.2+AJ425*0.2+AI425*0.2+AH425*0.15+AG425*0.1+AL425*0.05+AM425*0.1,3)</f>
        <v/>
      </c>
      <c r="AO425" s="6">
        <f>IFERROR(ROUND(AN425/(AC425+0.0001),3),"")</f>
        <v/>
      </c>
      <c r="AP425" s="6">
        <f>IFERROR(ROUND(AN425/(AB425/1000),3),"")</f>
        <v/>
      </c>
    </row>
    <row r="426">
      <c r="AN426" s="6">
        <f>ROUND(AK426*0.2+AJ426*0.2+AI426*0.2+AH426*0.15+AG426*0.1+AL426*0.05+AM426*0.1,3)</f>
        <v/>
      </c>
      <c r="AO426" s="6">
        <f>IFERROR(ROUND(AN426/(AC426+0.0001),3),"")</f>
        <v/>
      </c>
      <c r="AP426" s="6">
        <f>IFERROR(ROUND(AN426/(AB426/1000),3),"")</f>
        <v/>
      </c>
    </row>
    <row r="427">
      <c r="AN427" s="6">
        <f>ROUND(AK427*0.2+AJ427*0.2+AI427*0.2+AH427*0.15+AG427*0.1+AL427*0.05+AM427*0.1,3)</f>
        <v/>
      </c>
      <c r="AO427" s="6">
        <f>IFERROR(ROUND(AN427/(AC427+0.0001),3),"")</f>
        <v/>
      </c>
      <c r="AP427" s="6">
        <f>IFERROR(ROUND(AN427/(AB427/1000),3),"")</f>
        <v/>
      </c>
    </row>
    <row r="428">
      <c r="AN428" s="6">
        <f>ROUND(AK428*0.2+AJ428*0.2+AI428*0.2+AH428*0.15+AG428*0.1+AL428*0.05+AM428*0.1,3)</f>
        <v/>
      </c>
      <c r="AO428" s="6">
        <f>IFERROR(ROUND(AN428/(AC428+0.0001),3),"")</f>
        <v/>
      </c>
      <c r="AP428" s="6">
        <f>IFERROR(ROUND(AN428/(AB428/1000),3),"")</f>
        <v/>
      </c>
    </row>
    <row r="429">
      <c r="AN429" s="6">
        <f>ROUND(AK429*0.2+AJ429*0.2+AI429*0.2+AH429*0.15+AG429*0.1+AL429*0.05+AM429*0.1,3)</f>
        <v/>
      </c>
      <c r="AO429" s="6">
        <f>IFERROR(ROUND(AN429/(AC429+0.0001),3),"")</f>
        <v/>
      </c>
      <c r="AP429" s="6">
        <f>IFERROR(ROUND(AN429/(AB429/1000),3),"")</f>
        <v/>
      </c>
    </row>
    <row r="430">
      <c r="AN430" s="6">
        <f>ROUND(AK430*0.2+AJ430*0.2+AI430*0.2+AH430*0.15+AG430*0.1+AL430*0.05+AM430*0.1,3)</f>
        <v/>
      </c>
      <c r="AO430" s="6">
        <f>IFERROR(ROUND(AN430/(AC430+0.0001),3),"")</f>
        <v/>
      </c>
      <c r="AP430" s="6">
        <f>IFERROR(ROUND(AN430/(AB430/1000),3),"")</f>
        <v/>
      </c>
    </row>
    <row r="431">
      <c r="AN431" s="6">
        <f>ROUND(AK431*0.2+AJ431*0.2+AI431*0.2+AH431*0.15+AG431*0.1+AL431*0.05+AM431*0.1,3)</f>
        <v/>
      </c>
      <c r="AO431" s="6">
        <f>IFERROR(ROUND(AN431/(AC431+0.0001),3),"")</f>
        <v/>
      </c>
      <c r="AP431" s="6">
        <f>IFERROR(ROUND(AN431/(AB431/1000),3),"")</f>
        <v/>
      </c>
    </row>
    <row r="432">
      <c r="AN432" s="6">
        <f>ROUND(AK432*0.2+AJ432*0.2+AI432*0.2+AH432*0.15+AG432*0.1+AL432*0.05+AM432*0.1,3)</f>
        <v/>
      </c>
      <c r="AO432" s="6">
        <f>IFERROR(ROUND(AN432/(AC432+0.0001),3),"")</f>
        <v/>
      </c>
      <c r="AP432" s="6">
        <f>IFERROR(ROUND(AN432/(AB432/1000),3),"")</f>
        <v/>
      </c>
    </row>
    <row r="433">
      <c r="AN433" s="6">
        <f>ROUND(AK433*0.2+AJ433*0.2+AI433*0.2+AH433*0.15+AG433*0.1+AL433*0.05+AM433*0.1,3)</f>
        <v/>
      </c>
      <c r="AO433" s="6">
        <f>IFERROR(ROUND(AN433/(AC433+0.0001),3),"")</f>
        <v/>
      </c>
      <c r="AP433" s="6">
        <f>IFERROR(ROUND(AN433/(AB433/1000),3),"")</f>
        <v/>
      </c>
    </row>
    <row r="434">
      <c r="AN434" s="6">
        <f>ROUND(AK434*0.2+AJ434*0.2+AI434*0.2+AH434*0.15+AG434*0.1+AL434*0.05+AM434*0.1,3)</f>
        <v/>
      </c>
      <c r="AO434" s="6">
        <f>IFERROR(ROUND(AN434/(AC434+0.0001),3),"")</f>
        <v/>
      </c>
      <c r="AP434" s="6">
        <f>IFERROR(ROUND(AN434/(AB434/1000),3),"")</f>
        <v/>
      </c>
    </row>
    <row r="435">
      <c r="AN435" s="6">
        <f>ROUND(AK435*0.2+AJ435*0.2+AI435*0.2+AH435*0.15+AG435*0.1+AL435*0.05+AM435*0.1,3)</f>
        <v/>
      </c>
      <c r="AO435" s="6">
        <f>IFERROR(ROUND(AN435/(AC435+0.0001),3),"")</f>
        <v/>
      </c>
      <c r="AP435" s="6">
        <f>IFERROR(ROUND(AN435/(AB435/1000),3),"")</f>
        <v/>
      </c>
    </row>
    <row r="436">
      <c r="AN436" s="6">
        <f>ROUND(AK436*0.2+AJ436*0.2+AI436*0.2+AH436*0.15+AG436*0.1+AL436*0.05+AM436*0.1,3)</f>
        <v/>
      </c>
      <c r="AO436" s="6">
        <f>IFERROR(ROUND(AN436/(AC436+0.0001),3),"")</f>
        <v/>
      </c>
      <c r="AP436" s="6">
        <f>IFERROR(ROUND(AN436/(AB436/1000),3),"")</f>
        <v/>
      </c>
    </row>
    <row r="437">
      <c r="AN437" s="6">
        <f>ROUND(AK437*0.2+AJ437*0.2+AI437*0.2+AH437*0.15+AG437*0.1+AL437*0.05+AM437*0.1,3)</f>
        <v/>
      </c>
      <c r="AO437" s="6">
        <f>IFERROR(ROUND(AN437/(AC437+0.0001),3),"")</f>
        <v/>
      </c>
      <c r="AP437" s="6">
        <f>IFERROR(ROUND(AN437/(AB437/1000),3),"")</f>
        <v/>
      </c>
    </row>
    <row r="438">
      <c r="AN438" s="6">
        <f>ROUND(AK438*0.2+AJ438*0.2+AI438*0.2+AH438*0.15+AG438*0.1+AL438*0.05+AM438*0.1,3)</f>
        <v/>
      </c>
      <c r="AO438" s="6">
        <f>IFERROR(ROUND(AN438/(AC438+0.0001),3),"")</f>
        <v/>
      </c>
      <c r="AP438" s="6">
        <f>IFERROR(ROUND(AN438/(AB438/1000),3),"")</f>
        <v/>
      </c>
    </row>
    <row r="439">
      <c r="AN439" s="6">
        <f>ROUND(AK439*0.2+AJ439*0.2+AI439*0.2+AH439*0.15+AG439*0.1+AL439*0.05+AM439*0.1,3)</f>
        <v/>
      </c>
      <c r="AO439" s="6">
        <f>IFERROR(ROUND(AN439/(AC439+0.0001),3),"")</f>
        <v/>
      </c>
      <c r="AP439" s="6">
        <f>IFERROR(ROUND(AN439/(AB439/1000),3),"")</f>
        <v/>
      </c>
    </row>
    <row r="440">
      <c r="AN440" s="6">
        <f>ROUND(AK440*0.2+AJ440*0.2+AI440*0.2+AH440*0.15+AG440*0.1+AL440*0.05+AM440*0.1,3)</f>
        <v/>
      </c>
      <c r="AO440" s="6">
        <f>IFERROR(ROUND(AN440/(AC440+0.0001),3),"")</f>
        <v/>
      </c>
      <c r="AP440" s="6">
        <f>IFERROR(ROUND(AN440/(AB440/1000),3),"")</f>
        <v/>
      </c>
    </row>
    <row r="441">
      <c r="AN441" s="6">
        <f>ROUND(AK441*0.2+AJ441*0.2+AI441*0.2+AH441*0.15+AG441*0.1+AL441*0.05+AM441*0.1,3)</f>
        <v/>
      </c>
      <c r="AO441" s="6">
        <f>IFERROR(ROUND(AN441/(AC441+0.0001),3),"")</f>
        <v/>
      </c>
      <c r="AP441" s="6">
        <f>IFERROR(ROUND(AN441/(AB441/1000),3),"")</f>
        <v/>
      </c>
    </row>
    <row r="442">
      <c r="AN442" s="6">
        <f>ROUND(AK442*0.2+AJ442*0.2+AI442*0.2+AH442*0.15+AG442*0.1+AL442*0.05+AM442*0.1,3)</f>
        <v/>
      </c>
      <c r="AO442" s="6">
        <f>IFERROR(ROUND(AN442/(AC442+0.0001),3),"")</f>
        <v/>
      </c>
      <c r="AP442" s="6">
        <f>IFERROR(ROUND(AN442/(AB442/1000),3),"")</f>
        <v/>
      </c>
    </row>
    <row r="443">
      <c r="AN443" s="6">
        <f>ROUND(AK443*0.2+AJ443*0.2+AI443*0.2+AH443*0.15+AG443*0.1+AL443*0.05+AM443*0.1,3)</f>
        <v/>
      </c>
      <c r="AO443" s="6">
        <f>IFERROR(ROUND(AN443/(AC443+0.0001),3),"")</f>
        <v/>
      </c>
      <c r="AP443" s="6">
        <f>IFERROR(ROUND(AN443/(AB443/1000),3),"")</f>
        <v/>
      </c>
    </row>
    <row r="444">
      <c r="AN444" s="6">
        <f>ROUND(AK444*0.2+AJ444*0.2+AI444*0.2+AH444*0.15+AG444*0.1+AL444*0.05+AM444*0.1,3)</f>
        <v/>
      </c>
      <c r="AO444" s="6">
        <f>IFERROR(ROUND(AN444/(AC444+0.0001),3),"")</f>
        <v/>
      </c>
      <c r="AP444" s="6">
        <f>IFERROR(ROUND(AN444/(AB444/1000),3),"")</f>
        <v/>
      </c>
    </row>
    <row r="445">
      <c r="AN445" s="6">
        <f>ROUND(AK445*0.2+AJ445*0.2+AI445*0.2+AH445*0.15+AG445*0.1+AL445*0.05+AM445*0.1,3)</f>
        <v/>
      </c>
      <c r="AO445" s="6">
        <f>IFERROR(ROUND(AN445/(AC445+0.0001),3),"")</f>
        <v/>
      </c>
      <c r="AP445" s="6">
        <f>IFERROR(ROUND(AN445/(AB445/1000),3),"")</f>
        <v/>
      </c>
    </row>
    <row r="446">
      <c r="AN446" s="6">
        <f>ROUND(AK446*0.2+AJ446*0.2+AI446*0.2+AH446*0.15+AG446*0.1+AL446*0.05+AM446*0.1,3)</f>
        <v/>
      </c>
      <c r="AO446" s="6">
        <f>IFERROR(ROUND(AN446/(AC446+0.0001),3),"")</f>
        <v/>
      </c>
      <c r="AP446" s="6">
        <f>IFERROR(ROUND(AN446/(AB446/1000),3),"")</f>
        <v/>
      </c>
    </row>
    <row r="447">
      <c r="AN447" s="6">
        <f>ROUND(AK447*0.2+AJ447*0.2+AI447*0.2+AH447*0.15+AG447*0.1+AL447*0.05+AM447*0.1,3)</f>
        <v/>
      </c>
      <c r="AO447" s="6">
        <f>IFERROR(ROUND(AN447/(AC447+0.0001),3),"")</f>
        <v/>
      </c>
      <c r="AP447" s="6">
        <f>IFERROR(ROUND(AN447/(AB447/1000),3),"")</f>
        <v/>
      </c>
    </row>
    <row r="448">
      <c r="AN448" s="6">
        <f>ROUND(AK448*0.2+AJ448*0.2+AI448*0.2+AH448*0.15+AG448*0.1+AL448*0.05+AM448*0.1,3)</f>
        <v/>
      </c>
      <c r="AO448" s="6">
        <f>IFERROR(ROUND(AN448/(AC448+0.0001),3),"")</f>
        <v/>
      </c>
      <c r="AP448" s="6">
        <f>IFERROR(ROUND(AN448/(AB448/1000),3),"")</f>
        <v/>
      </c>
    </row>
    <row r="449">
      <c r="AN449" s="6">
        <f>ROUND(AK449*0.2+AJ449*0.2+AI449*0.2+AH449*0.15+AG449*0.1+AL449*0.05+AM449*0.1,3)</f>
        <v/>
      </c>
      <c r="AO449" s="6">
        <f>IFERROR(ROUND(AN449/(AC449+0.0001),3),"")</f>
        <v/>
      </c>
      <c r="AP449" s="6">
        <f>IFERROR(ROUND(AN449/(AB449/1000),3),"")</f>
        <v/>
      </c>
    </row>
    <row r="450">
      <c r="AN450" s="6">
        <f>ROUND(AK450*0.2+AJ450*0.2+AI450*0.2+AH450*0.15+AG450*0.1+AL450*0.05+AM450*0.1,3)</f>
        <v/>
      </c>
      <c r="AO450" s="6">
        <f>IFERROR(ROUND(AN450/(AC450+0.0001),3),"")</f>
        <v/>
      </c>
      <c r="AP450" s="6">
        <f>IFERROR(ROUND(AN450/(AB450/1000),3),"")</f>
        <v/>
      </c>
    </row>
    <row r="451">
      <c r="AN451" s="6">
        <f>ROUND(AK451*0.2+AJ451*0.2+AI451*0.2+AH451*0.15+AG451*0.1+AL451*0.05+AM451*0.1,3)</f>
        <v/>
      </c>
      <c r="AO451" s="6">
        <f>IFERROR(ROUND(AN451/(AC451+0.0001),3),"")</f>
        <v/>
      </c>
      <c r="AP451" s="6">
        <f>IFERROR(ROUND(AN451/(AB451/1000),3),"")</f>
        <v/>
      </c>
    </row>
    <row r="452">
      <c r="AN452" s="6">
        <f>ROUND(AK452*0.2+AJ452*0.2+AI452*0.2+AH452*0.15+AG452*0.1+AL452*0.05+AM452*0.1,3)</f>
        <v/>
      </c>
      <c r="AO452" s="6">
        <f>IFERROR(ROUND(AN452/(AC452+0.0001),3),"")</f>
        <v/>
      </c>
      <c r="AP452" s="6">
        <f>IFERROR(ROUND(AN452/(AB452/1000),3),"")</f>
        <v/>
      </c>
    </row>
    <row r="453">
      <c r="AN453" s="6">
        <f>ROUND(AK453*0.2+AJ453*0.2+AI453*0.2+AH453*0.15+AG453*0.1+AL453*0.05+AM453*0.1,3)</f>
        <v/>
      </c>
      <c r="AO453" s="6">
        <f>IFERROR(ROUND(AN453/(AC453+0.0001),3),"")</f>
        <v/>
      </c>
      <c r="AP453" s="6">
        <f>IFERROR(ROUND(AN453/(AB453/1000),3),"")</f>
        <v/>
      </c>
    </row>
    <row r="454">
      <c r="AN454" s="6">
        <f>ROUND(AK454*0.2+AJ454*0.2+AI454*0.2+AH454*0.15+AG454*0.1+AL454*0.05+AM454*0.1,3)</f>
        <v/>
      </c>
      <c r="AO454" s="6">
        <f>IFERROR(ROUND(AN454/(AC454+0.0001),3),"")</f>
        <v/>
      </c>
      <c r="AP454" s="6">
        <f>IFERROR(ROUND(AN454/(AB454/1000),3),"")</f>
        <v/>
      </c>
    </row>
    <row r="455">
      <c r="AN455" s="6">
        <f>ROUND(AK455*0.2+AJ455*0.2+AI455*0.2+AH455*0.15+AG455*0.1+AL455*0.05+AM455*0.1,3)</f>
        <v/>
      </c>
      <c r="AO455" s="6">
        <f>IFERROR(ROUND(AN455/(AC455+0.0001),3),"")</f>
        <v/>
      </c>
      <c r="AP455" s="6">
        <f>IFERROR(ROUND(AN455/(AB455/1000),3),"")</f>
        <v/>
      </c>
    </row>
    <row r="456">
      <c r="AN456" s="6">
        <f>ROUND(AK456*0.2+AJ456*0.2+AI456*0.2+AH456*0.15+AG456*0.1+AL456*0.05+AM456*0.1,3)</f>
        <v/>
      </c>
      <c r="AO456" s="6">
        <f>IFERROR(ROUND(AN456/(AC456+0.0001),3),"")</f>
        <v/>
      </c>
      <c r="AP456" s="6">
        <f>IFERROR(ROUND(AN456/(AB456/1000),3),"")</f>
        <v/>
      </c>
    </row>
    <row r="457">
      <c r="AN457" s="6">
        <f>ROUND(AK457*0.2+AJ457*0.2+AI457*0.2+AH457*0.15+AG457*0.1+AL457*0.05+AM457*0.1,3)</f>
        <v/>
      </c>
      <c r="AO457" s="6">
        <f>IFERROR(ROUND(AN457/(AC457+0.0001),3),"")</f>
        <v/>
      </c>
      <c r="AP457" s="6">
        <f>IFERROR(ROUND(AN457/(AB457/1000),3),"")</f>
        <v/>
      </c>
    </row>
    <row r="458">
      <c r="AN458" s="6">
        <f>ROUND(AK458*0.2+AJ458*0.2+AI458*0.2+AH458*0.15+AG458*0.1+AL458*0.05+AM458*0.1,3)</f>
        <v/>
      </c>
      <c r="AO458" s="6">
        <f>IFERROR(ROUND(AN458/(AC458+0.0001),3),"")</f>
        <v/>
      </c>
      <c r="AP458" s="6">
        <f>IFERROR(ROUND(AN458/(AB458/1000),3),"")</f>
        <v/>
      </c>
    </row>
    <row r="459">
      <c r="AN459" s="6">
        <f>ROUND(AK459*0.2+AJ459*0.2+AI459*0.2+AH459*0.15+AG459*0.1+AL459*0.05+AM459*0.1,3)</f>
        <v/>
      </c>
      <c r="AO459" s="6">
        <f>IFERROR(ROUND(AN459/(AC459+0.0001),3),"")</f>
        <v/>
      </c>
      <c r="AP459" s="6">
        <f>IFERROR(ROUND(AN459/(AB459/1000),3),"")</f>
        <v/>
      </c>
    </row>
    <row r="460">
      <c r="AN460" s="6">
        <f>ROUND(AK460*0.2+AJ460*0.2+AI460*0.2+AH460*0.15+AG460*0.1+AL460*0.05+AM460*0.1,3)</f>
        <v/>
      </c>
      <c r="AO460" s="6">
        <f>IFERROR(ROUND(AN460/(AC460+0.0001),3),"")</f>
        <v/>
      </c>
      <c r="AP460" s="6">
        <f>IFERROR(ROUND(AN460/(AB460/1000),3),"")</f>
        <v/>
      </c>
    </row>
    <row r="461">
      <c r="AN461" s="6">
        <f>ROUND(AK461*0.2+AJ461*0.2+AI461*0.2+AH461*0.15+AG461*0.1+AL461*0.05+AM461*0.1,3)</f>
        <v/>
      </c>
      <c r="AO461" s="6">
        <f>IFERROR(ROUND(AN461/(AC461+0.0001),3),"")</f>
        <v/>
      </c>
      <c r="AP461" s="6">
        <f>IFERROR(ROUND(AN461/(AB461/1000),3),"")</f>
        <v/>
      </c>
    </row>
    <row r="462">
      <c r="AN462" s="6">
        <f>ROUND(AK462*0.2+AJ462*0.2+AI462*0.2+AH462*0.15+AG462*0.1+AL462*0.05+AM462*0.1,3)</f>
        <v/>
      </c>
      <c r="AO462" s="6">
        <f>IFERROR(ROUND(AN462/(AC462+0.0001),3),"")</f>
        <v/>
      </c>
      <c r="AP462" s="6">
        <f>IFERROR(ROUND(AN462/(AB462/1000),3),"")</f>
        <v/>
      </c>
    </row>
    <row r="463">
      <c r="AN463" s="6">
        <f>ROUND(AK463*0.2+AJ463*0.2+AI463*0.2+AH463*0.15+AG463*0.1+AL463*0.05+AM463*0.1,3)</f>
        <v/>
      </c>
      <c r="AO463" s="6">
        <f>IFERROR(ROUND(AN463/(AC463+0.0001),3),"")</f>
        <v/>
      </c>
      <c r="AP463" s="6">
        <f>IFERROR(ROUND(AN463/(AB463/1000),3),"")</f>
        <v/>
      </c>
    </row>
    <row r="464">
      <c r="AN464" s="6">
        <f>ROUND(AK464*0.2+AJ464*0.2+AI464*0.2+AH464*0.15+AG464*0.1+AL464*0.05+AM464*0.1,3)</f>
        <v/>
      </c>
      <c r="AO464" s="6">
        <f>IFERROR(ROUND(AN464/(AC464+0.0001),3),"")</f>
        <v/>
      </c>
      <c r="AP464" s="6">
        <f>IFERROR(ROUND(AN464/(AB464/1000),3),"")</f>
        <v/>
      </c>
    </row>
    <row r="465">
      <c r="AN465" s="6">
        <f>ROUND(AK465*0.2+AJ465*0.2+AI465*0.2+AH465*0.15+AG465*0.1+AL465*0.05+AM465*0.1,3)</f>
        <v/>
      </c>
      <c r="AO465" s="6">
        <f>IFERROR(ROUND(AN465/(AC465+0.0001),3),"")</f>
        <v/>
      </c>
      <c r="AP465" s="6">
        <f>IFERROR(ROUND(AN465/(AB465/1000),3),"")</f>
        <v/>
      </c>
    </row>
    <row r="466">
      <c r="AN466" s="6">
        <f>ROUND(AK466*0.2+AJ466*0.2+AI466*0.2+AH466*0.15+AG466*0.1+AL466*0.05+AM466*0.1,3)</f>
        <v/>
      </c>
      <c r="AO466" s="6">
        <f>IFERROR(ROUND(AN466/(AC466+0.0001),3),"")</f>
        <v/>
      </c>
      <c r="AP466" s="6">
        <f>IFERROR(ROUND(AN466/(AB466/1000),3),"")</f>
        <v/>
      </c>
    </row>
    <row r="467">
      <c r="AN467" s="6">
        <f>ROUND(AK467*0.2+AJ467*0.2+AI467*0.2+AH467*0.15+AG467*0.1+AL467*0.05+AM467*0.1,3)</f>
        <v/>
      </c>
      <c r="AO467" s="6">
        <f>IFERROR(ROUND(AN467/(AC467+0.0001),3),"")</f>
        <v/>
      </c>
      <c r="AP467" s="6">
        <f>IFERROR(ROUND(AN467/(AB467/1000),3),"")</f>
        <v/>
      </c>
    </row>
    <row r="468">
      <c r="AN468" s="6">
        <f>ROUND(AK468*0.2+AJ468*0.2+AI468*0.2+AH468*0.15+AG468*0.1+AL468*0.05+AM468*0.1,3)</f>
        <v/>
      </c>
      <c r="AO468" s="6">
        <f>IFERROR(ROUND(AN468/(AC468+0.0001),3),"")</f>
        <v/>
      </c>
      <c r="AP468" s="6">
        <f>IFERROR(ROUND(AN468/(AB468/1000),3),"")</f>
        <v/>
      </c>
    </row>
    <row r="469">
      <c r="AN469" s="6">
        <f>ROUND(AK469*0.2+AJ469*0.2+AI469*0.2+AH469*0.15+AG469*0.1+AL469*0.05+AM469*0.1,3)</f>
        <v/>
      </c>
      <c r="AO469" s="6">
        <f>IFERROR(ROUND(AN469/(AC469+0.0001),3),"")</f>
        <v/>
      </c>
      <c r="AP469" s="6">
        <f>IFERROR(ROUND(AN469/(AB469/1000),3),"")</f>
        <v/>
      </c>
    </row>
    <row r="470">
      <c r="AN470" s="6">
        <f>ROUND(AK470*0.2+AJ470*0.2+AI470*0.2+AH470*0.15+AG470*0.1+AL470*0.05+AM470*0.1,3)</f>
        <v/>
      </c>
      <c r="AO470" s="6">
        <f>IFERROR(ROUND(AN470/(AC470+0.0001),3),"")</f>
        <v/>
      </c>
      <c r="AP470" s="6">
        <f>IFERROR(ROUND(AN470/(AB470/1000),3),"")</f>
        <v/>
      </c>
    </row>
    <row r="471">
      <c r="AN471" s="6">
        <f>ROUND(AK471*0.2+AJ471*0.2+AI471*0.2+AH471*0.15+AG471*0.1+AL471*0.05+AM471*0.1,3)</f>
        <v/>
      </c>
      <c r="AO471" s="6">
        <f>IFERROR(ROUND(AN471/(AC471+0.0001),3),"")</f>
        <v/>
      </c>
      <c r="AP471" s="6">
        <f>IFERROR(ROUND(AN471/(AB471/1000),3),"")</f>
        <v/>
      </c>
    </row>
    <row r="472">
      <c r="AN472" s="6">
        <f>ROUND(AK472*0.2+AJ472*0.2+AI472*0.2+AH472*0.15+AG472*0.1+AL472*0.05+AM472*0.1,3)</f>
        <v/>
      </c>
      <c r="AO472" s="6">
        <f>IFERROR(ROUND(AN472/(AC472+0.0001),3),"")</f>
        <v/>
      </c>
      <c r="AP472" s="6">
        <f>IFERROR(ROUND(AN472/(AB472/1000),3),"")</f>
        <v/>
      </c>
    </row>
    <row r="473">
      <c r="AN473" s="6">
        <f>ROUND(AK473*0.2+AJ473*0.2+AI473*0.2+AH473*0.15+AG473*0.1+AL473*0.05+AM473*0.1,3)</f>
        <v/>
      </c>
      <c r="AO473" s="6">
        <f>IFERROR(ROUND(AN473/(AC473+0.0001),3),"")</f>
        <v/>
      </c>
      <c r="AP473" s="6">
        <f>IFERROR(ROUND(AN473/(AB473/1000),3),"")</f>
        <v/>
      </c>
    </row>
    <row r="474">
      <c r="AN474" s="6">
        <f>ROUND(AK474*0.2+AJ474*0.2+AI474*0.2+AH474*0.15+AG474*0.1+AL474*0.05+AM474*0.1,3)</f>
        <v/>
      </c>
      <c r="AO474" s="6">
        <f>IFERROR(ROUND(AN474/(AC474+0.0001),3),"")</f>
        <v/>
      </c>
      <c r="AP474" s="6">
        <f>IFERROR(ROUND(AN474/(AB474/1000),3),"")</f>
        <v/>
      </c>
    </row>
    <row r="475">
      <c r="AN475" s="6">
        <f>ROUND(AK475*0.2+AJ475*0.2+AI475*0.2+AH475*0.15+AG475*0.1+AL475*0.05+AM475*0.1,3)</f>
        <v/>
      </c>
      <c r="AO475" s="6">
        <f>IFERROR(ROUND(AN475/(AC475+0.0001),3),"")</f>
        <v/>
      </c>
      <c r="AP475" s="6">
        <f>IFERROR(ROUND(AN475/(AB475/1000),3),"")</f>
        <v/>
      </c>
    </row>
    <row r="476">
      <c r="AN476" s="6">
        <f>ROUND(AK476*0.2+AJ476*0.2+AI476*0.2+AH476*0.15+AG476*0.1+AL476*0.05+AM476*0.1,3)</f>
        <v/>
      </c>
      <c r="AO476" s="6">
        <f>IFERROR(ROUND(AN476/(AC476+0.0001),3),"")</f>
        <v/>
      </c>
      <c r="AP476" s="6">
        <f>IFERROR(ROUND(AN476/(AB476/1000),3),"")</f>
        <v/>
      </c>
    </row>
    <row r="477">
      <c r="AN477" s="6">
        <f>ROUND(AK477*0.2+AJ477*0.2+AI477*0.2+AH477*0.15+AG477*0.1+AL477*0.05+AM477*0.1,3)</f>
        <v/>
      </c>
      <c r="AO477" s="6">
        <f>IFERROR(ROUND(AN477/(AC477+0.0001),3),"")</f>
        <v/>
      </c>
      <c r="AP477" s="6">
        <f>IFERROR(ROUND(AN477/(AB477/1000),3),"")</f>
        <v/>
      </c>
    </row>
    <row r="478">
      <c r="AN478" s="6">
        <f>ROUND(AK478*0.2+AJ478*0.2+AI478*0.2+AH478*0.15+AG478*0.1+AL478*0.05+AM478*0.1,3)</f>
        <v/>
      </c>
      <c r="AO478" s="6">
        <f>IFERROR(ROUND(AN478/(AC478+0.0001),3),"")</f>
        <v/>
      </c>
      <c r="AP478" s="6">
        <f>IFERROR(ROUND(AN478/(AB478/1000),3),"")</f>
        <v/>
      </c>
    </row>
    <row r="479">
      <c r="AN479" s="6">
        <f>ROUND(AK479*0.2+AJ479*0.2+AI479*0.2+AH479*0.15+AG479*0.1+AL479*0.05+AM479*0.1,3)</f>
        <v/>
      </c>
      <c r="AO479" s="6">
        <f>IFERROR(ROUND(AN479/(AC479+0.0001),3),"")</f>
        <v/>
      </c>
      <c r="AP479" s="6">
        <f>IFERROR(ROUND(AN479/(AB479/1000),3),"")</f>
        <v/>
      </c>
    </row>
    <row r="480">
      <c r="AN480" s="6">
        <f>ROUND(AK480*0.2+AJ480*0.2+AI480*0.2+AH480*0.15+AG480*0.1+AL480*0.05+AM480*0.1,3)</f>
        <v/>
      </c>
      <c r="AO480" s="6">
        <f>IFERROR(ROUND(AN480/(AC480+0.0001),3),"")</f>
        <v/>
      </c>
      <c r="AP480" s="6">
        <f>IFERROR(ROUND(AN480/(AB480/1000),3),"")</f>
        <v/>
      </c>
    </row>
    <row r="481">
      <c r="AN481" s="6">
        <f>ROUND(AK481*0.2+AJ481*0.2+AI481*0.2+AH481*0.15+AG481*0.1+AL481*0.05+AM481*0.1,3)</f>
        <v/>
      </c>
      <c r="AO481" s="6">
        <f>IFERROR(ROUND(AN481/(AC481+0.0001),3),"")</f>
        <v/>
      </c>
      <c r="AP481" s="6">
        <f>IFERROR(ROUND(AN481/(AB481/1000),3),"")</f>
        <v/>
      </c>
    </row>
    <row r="482">
      <c r="AN482" s="6">
        <f>ROUND(AK482*0.2+AJ482*0.2+AI482*0.2+AH482*0.15+AG482*0.1+AL482*0.05+AM482*0.1,3)</f>
        <v/>
      </c>
      <c r="AO482" s="6">
        <f>IFERROR(ROUND(AN482/(AC482+0.0001),3),"")</f>
        <v/>
      </c>
      <c r="AP482" s="6">
        <f>IFERROR(ROUND(AN482/(AB482/1000),3),"")</f>
        <v/>
      </c>
    </row>
    <row r="483">
      <c r="AN483" s="6">
        <f>ROUND(AK483*0.2+AJ483*0.2+AI483*0.2+AH483*0.15+AG483*0.1+AL483*0.05+AM483*0.1,3)</f>
        <v/>
      </c>
      <c r="AO483" s="6">
        <f>IFERROR(ROUND(AN483/(AC483+0.0001),3),"")</f>
        <v/>
      </c>
      <c r="AP483" s="6">
        <f>IFERROR(ROUND(AN483/(AB483/1000),3),"")</f>
        <v/>
      </c>
    </row>
    <row r="484">
      <c r="AN484" s="6">
        <f>ROUND(AK484*0.2+AJ484*0.2+AI484*0.2+AH484*0.15+AG484*0.1+AL484*0.05+AM484*0.1,3)</f>
        <v/>
      </c>
      <c r="AO484" s="6">
        <f>IFERROR(ROUND(AN484/(AC484+0.0001),3),"")</f>
        <v/>
      </c>
      <c r="AP484" s="6">
        <f>IFERROR(ROUND(AN484/(AB484/1000),3),"")</f>
        <v/>
      </c>
    </row>
    <row r="485">
      <c r="AN485" s="6">
        <f>ROUND(AK485*0.2+AJ485*0.2+AI485*0.2+AH485*0.15+AG485*0.1+AL485*0.05+AM485*0.1,3)</f>
        <v/>
      </c>
      <c r="AO485" s="6">
        <f>IFERROR(ROUND(AN485/(AC485+0.0001),3),"")</f>
        <v/>
      </c>
      <c r="AP485" s="6">
        <f>IFERROR(ROUND(AN485/(AB485/1000),3),"")</f>
        <v/>
      </c>
    </row>
    <row r="486">
      <c r="AN486" s="6">
        <f>ROUND(AK486*0.2+AJ486*0.2+AI486*0.2+AH486*0.15+AG486*0.1+AL486*0.05+AM486*0.1,3)</f>
        <v/>
      </c>
      <c r="AO486" s="6">
        <f>IFERROR(ROUND(AN486/(AC486+0.0001),3),"")</f>
        <v/>
      </c>
      <c r="AP486" s="6">
        <f>IFERROR(ROUND(AN486/(AB486/1000),3),"")</f>
        <v/>
      </c>
    </row>
    <row r="487">
      <c r="AN487" s="6">
        <f>ROUND(AK487*0.2+AJ487*0.2+AI487*0.2+AH487*0.15+AG487*0.1+AL487*0.05+AM487*0.1,3)</f>
        <v/>
      </c>
      <c r="AO487" s="6">
        <f>IFERROR(ROUND(AN487/(AC487+0.0001),3),"")</f>
        <v/>
      </c>
      <c r="AP487" s="6">
        <f>IFERROR(ROUND(AN487/(AB487/1000),3),"")</f>
        <v/>
      </c>
    </row>
    <row r="488">
      <c r="AN488" s="6">
        <f>ROUND(AK488*0.2+AJ488*0.2+AI488*0.2+AH488*0.15+AG488*0.1+AL488*0.05+AM488*0.1,3)</f>
        <v/>
      </c>
      <c r="AO488" s="6">
        <f>IFERROR(ROUND(AN488/(AC488+0.0001),3),"")</f>
        <v/>
      </c>
      <c r="AP488" s="6">
        <f>IFERROR(ROUND(AN488/(AB488/1000),3),"")</f>
        <v/>
      </c>
    </row>
    <row r="489">
      <c r="AN489" s="6">
        <f>ROUND(AK489*0.2+AJ489*0.2+AI489*0.2+AH489*0.15+AG489*0.1+AL489*0.05+AM489*0.1,3)</f>
        <v/>
      </c>
      <c r="AO489" s="6">
        <f>IFERROR(ROUND(AN489/(AC489+0.0001),3),"")</f>
        <v/>
      </c>
      <c r="AP489" s="6">
        <f>IFERROR(ROUND(AN489/(AB489/1000),3),"")</f>
        <v/>
      </c>
    </row>
    <row r="490">
      <c r="AN490" s="6">
        <f>ROUND(AK490*0.2+AJ490*0.2+AI490*0.2+AH490*0.15+AG490*0.1+AL490*0.05+AM490*0.1,3)</f>
        <v/>
      </c>
      <c r="AO490" s="6">
        <f>IFERROR(ROUND(AN490/(AC490+0.0001),3),"")</f>
        <v/>
      </c>
      <c r="AP490" s="6">
        <f>IFERROR(ROUND(AN490/(AB490/1000),3),"")</f>
        <v/>
      </c>
    </row>
    <row r="491">
      <c r="AN491" s="6">
        <f>ROUND(AK491*0.2+AJ491*0.2+AI491*0.2+AH491*0.15+AG491*0.1+AL491*0.05+AM491*0.1,3)</f>
        <v/>
      </c>
      <c r="AO491" s="6">
        <f>IFERROR(ROUND(AN491/(AC491+0.0001),3),"")</f>
        <v/>
      </c>
      <c r="AP491" s="6">
        <f>IFERROR(ROUND(AN491/(AB491/1000),3),"")</f>
        <v/>
      </c>
    </row>
    <row r="492">
      <c r="AN492" s="6">
        <f>ROUND(AK492*0.2+AJ492*0.2+AI492*0.2+AH492*0.15+AG492*0.1+AL492*0.05+AM492*0.1,3)</f>
        <v/>
      </c>
      <c r="AO492" s="6">
        <f>IFERROR(ROUND(AN492/(AC492+0.0001),3),"")</f>
        <v/>
      </c>
      <c r="AP492" s="6">
        <f>IFERROR(ROUND(AN492/(AB492/1000),3),"")</f>
        <v/>
      </c>
    </row>
    <row r="493">
      <c r="AN493" s="6">
        <f>ROUND(AK493*0.2+AJ493*0.2+AI493*0.2+AH493*0.15+AG493*0.1+AL493*0.05+AM493*0.1,3)</f>
        <v/>
      </c>
      <c r="AO493" s="6">
        <f>IFERROR(ROUND(AN493/(AC493+0.0001),3),"")</f>
        <v/>
      </c>
      <c r="AP493" s="6">
        <f>IFERROR(ROUND(AN493/(AB493/1000),3),"")</f>
        <v/>
      </c>
    </row>
    <row r="494">
      <c r="AN494" s="6">
        <f>ROUND(AK494*0.2+AJ494*0.2+AI494*0.2+AH494*0.15+AG494*0.1+AL494*0.05+AM494*0.1,3)</f>
        <v/>
      </c>
      <c r="AO494" s="6">
        <f>IFERROR(ROUND(AN494/(AC494+0.0001),3),"")</f>
        <v/>
      </c>
      <c r="AP494" s="6">
        <f>IFERROR(ROUND(AN494/(AB494/1000),3),"")</f>
        <v/>
      </c>
    </row>
    <row r="495">
      <c r="AN495" s="6">
        <f>ROUND(AK495*0.2+AJ495*0.2+AI495*0.2+AH495*0.15+AG495*0.1+AL495*0.05+AM495*0.1,3)</f>
        <v/>
      </c>
      <c r="AO495" s="6">
        <f>IFERROR(ROUND(AN495/(AC495+0.0001),3),"")</f>
        <v/>
      </c>
      <c r="AP495" s="6">
        <f>IFERROR(ROUND(AN495/(AB495/1000),3),"")</f>
        <v/>
      </c>
    </row>
    <row r="496">
      <c r="AN496" s="6">
        <f>ROUND(AK496*0.2+AJ496*0.2+AI496*0.2+AH496*0.15+AG496*0.1+AL496*0.05+AM496*0.1,3)</f>
        <v/>
      </c>
      <c r="AO496" s="6">
        <f>IFERROR(ROUND(AN496/(AC496+0.0001),3),"")</f>
        <v/>
      </c>
      <c r="AP496" s="6">
        <f>IFERROR(ROUND(AN496/(AB496/1000),3),"")</f>
        <v/>
      </c>
    </row>
    <row r="497">
      <c r="AN497" s="6">
        <f>ROUND(AK497*0.2+AJ497*0.2+AI497*0.2+AH497*0.15+AG497*0.1+AL497*0.05+AM497*0.1,3)</f>
        <v/>
      </c>
      <c r="AO497" s="6">
        <f>IFERROR(ROUND(AN497/(AC497+0.0001),3),"")</f>
        <v/>
      </c>
      <c r="AP497" s="6">
        <f>IFERROR(ROUND(AN497/(AB497/1000),3),"")</f>
        <v/>
      </c>
    </row>
    <row r="498">
      <c r="AN498" s="6">
        <f>ROUND(AK498*0.2+AJ498*0.2+AI498*0.2+AH498*0.15+AG498*0.1+AL498*0.05+AM498*0.1,3)</f>
        <v/>
      </c>
      <c r="AO498" s="6">
        <f>IFERROR(ROUND(AN498/(AC498+0.0001),3),"")</f>
        <v/>
      </c>
      <c r="AP498" s="6">
        <f>IFERROR(ROUND(AN498/(AB498/1000),3),"")</f>
        <v/>
      </c>
    </row>
    <row r="499">
      <c r="AN499" s="6">
        <f>ROUND(AK499*0.2+AJ499*0.2+AI499*0.2+AH499*0.15+AG499*0.1+AL499*0.05+AM499*0.1,3)</f>
        <v/>
      </c>
      <c r="AO499" s="6">
        <f>IFERROR(ROUND(AN499/(AC499+0.0001),3),"")</f>
        <v/>
      </c>
      <c r="AP499" s="6">
        <f>IFERROR(ROUND(AN499/(AB499/1000),3),"")</f>
        <v/>
      </c>
    </row>
    <row r="500">
      <c r="AN500" s="6">
        <f>ROUND(AK500*0.2+AJ500*0.2+AI500*0.2+AH500*0.15+AG500*0.1+AL500*0.05+AM500*0.1,3)</f>
        <v/>
      </c>
      <c r="AO500" s="6">
        <f>IFERROR(ROUND(AN500/(AC500+0.0001),3),"")</f>
        <v/>
      </c>
      <c r="AP500" s="6">
        <f>IFERROR(ROUND(AN500/(AB500/1000),3),"")</f>
        <v/>
      </c>
    </row>
  </sheetData>
  <autoFilter ref="A1:AS2"/>
  <dataValidations count="6">
    <dataValidation sqref="H2:H500" showDropDown="0" showInputMessage="0" showErrorMessage="0" allowBlank="1" type="list">
      <formula1>=Lists!$A$2:$A$4</formula1>
    </dataValidation>
    <dataValidation sqref="I2:I500" showDropDown="0" showInputMessage="0" showErrorMessage="0" allowBlank="1" type="list">
      <formula1>=Lists!$B$2:$B$4</formula1>
    </dataValidation>
    <dataValidation sqref="G2:G500" showDropDown="0" showInputMessage="0" showErrorMessage="0" allowBlank="1" type="list">
      <formula1>=Lists!$C$2:$C$9</formula1>
    </dataValidation>
    <dataValidation sqref="M2:M500" showDropDown="0" showInputMessage="0" showErrorMessage="0" allowBlank="1" type="list">
      <formula1>=Lists!$D$2:$D$3</formula1>
    </dataValidation>
    <dataValidation sqref="R2:R500" showDropDown="0" showInputMessage="0" showErrorMessage="0" allowBlank="1" type="list">
      <formula1>=Lists!$E$2:$E$3</formula1>
    </dataValidation>
    <dataValidation sqref="AQ2:AQ500" showDropDown="0" showInputMessage="0" showErrorMessage="0" allowBlank="1" type="list">
      <formula1>=Lists!$F$2:$F$4</formula1>
    </dataValidation>
  </dataValidations>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AX500"/>
  <sheetViews>
    <sheetView showGridLines="1"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4" customWidth="1" min="4" max="4"/>
    <col width="15" customWidth="1" min="5" max="5"/>
    <col width="19" customWidth="1" min="6" max="6"/>
    <col width="25" customWidth="1" min="7" max="7"/>
    <col width="17" customWidth="1" min="8" max="8"/>
    <col width="16" customWidth="1" min="9" max="9"/>
    <col width="19" customWidth="1" min="10" max="10"/>
    <col width="16" customWidth="1" min="11" max="11"/>
    <col width="28" customWidth="1" min="12" max="12"/>
    <col width="23" customWidth="1" min="13" max="13"/>
    <col width="20" customWidth="1" min="14" max="14"/>
    <col width="19" customWidth="1" min="15" max="15"/>
    <col width="20" customWidth="1" min="16" max="16"/>
    <col width="26" customWidth="1" min="17" max="17"/>
    <col width="25" customWidth="1" min="18" max="18"/>
    <col width="16" customWidth="1" min="19" max="19"/>
    <col width="22" customWidth="1" min="20" max="20"/>
    <col width="21" customWidth="1" min="21" max="21"/>
    <col width="26" customWidth="1" min="22" max="22"/>
    <col width="26" customWidth="1" min="23" max="23"/>
    <col width="25" customWidth="1" min="24" max="24"/>
    <col width="25" customWidth="1" min="25" max="25"/>
    <col width="22" customWidth="1" min="26" max="26"/>
    <col width="24" customWidth="1" min="27" max="27"/>
    <col width="25" customWidth="1" min="28" max="28"/>
    <col width="23" customWidth="1" min="29" max="29"/>
    <col width="24" customWidth="1" min="30" max="30"/>
    <col width="14" customWidth="1" min="31" max="31"/>
    <col width="20" customWidth="1" min="32" max="32"/>
    <col width="19" customWidth="1" min="33" max="33"/>
    <col width="16" customWidth="1" min="34" max="34"/>
    <col width="12" customWidth="1" min="35" max="35"/>
    <col width="19" customWidth="1" min="36" max="36"/>
    <col width="15" customWidth="1" min="37" max="37"/>
    <col width="28" customWidth="1" min="38" max="38"/>
    <col width="23" customWidth="1" min="39" max="39"/>
    <col width="24" customWidth="1" min="40" max="40"/>
    <col width="27" customWidth="1" min="41" max="41"/>
    <col width="26" customWidth="1" min="42" max="42"/>
    <col width="24" customWidth="1" min="43" max="43"/>
    <col width="22" customWidth="1" min="44" max="44"/>
    <col width="21" customWidth="1" min="45" max="45"/>
    <col width="20" customWidth="1" min="46" max="46"/>
    <col width="23" customWidth="1" min="47" max="47"/>
    <col width="12" customWidth="1" min="48" max="48"/>
    <col width="16" customWidth="1" min="49" max="49"/>
    <col width="30" customWidth="1" min="50" max="50"/>
  </cols>
  <sheetData>
    <row r="1" ht="28" customHeight="1">
      <c r="A1" s="2" t="inlineStr">
        <is>
          <t>run_id</t>
        </is>
      </c>
      <c r="B1" s="2" t="inlineStr">
        <is>
          <t>test_date</t>
        </is>
      </c>
      <c r="C1" s="2" t="inlineStr">
        <is>
          <t>tester</t>
        </is>
      </c>
      <c r="D1" s="2" t="inlineStr">
        <is>
          <t>subject_code</t>
        </is>
      </c>
      <c r="E1" s="2" t="inlineStr">
        <is>
          <t>question_type</t>
        </is>
      </c>
      <c r="F1" s="2" t="inlineStr">
        <is>
          <t>difficulty_target</t>
        </is>
      </c>
      <c r="G1" s="2" t="inlineStr">
        <is>
          <t>generation_mode</t>
        </is>
      </c>
      <c r="H1" s="2" t="inlineStr">
        <is>
          <t>generator_model</t>
        </is>
      </c>
      <c r="I1" s="2" t="inlineStr">
        <is>
          <t>reviewer_model</t>
        </is>
      </c>
      <c r="J1" s="2" t="inlineStr">
        <is>
          <t>dual_agent_mode</t>
        </is>
      </c>
      <c r="K1" s="2" t="inlineStr">
        <is>
          <t>context_source</t>
        </is>
      </c>
      <c r="L1" s="2" t="inlineStr">
        <is>
          <t>context_pack_id</t>
        </is>
      </c>
      <c r="M1" s="2" t="inlineStr">
        <is>
          <t>knowledge_chunk_count</t>
        </is>
      </c>
      <c r="N1" s="2" t="inlineStr">
        <is>
          <t>packed_token_count</t>
        </is>
      </c>
      <c r="O1" s="2" t="inlineStr">
        <is>
          <t>compression_ratio</t>
        </is>
      </c>
      <c r="P1" s="2" t="inlineStr">
        <is>
          <t>retrieval_strategy</t>
        </is>
      </c>
      <c r="Q1" s="2" t="inlineStr">
        <is>
          <t>prompt_version_generator</t>
        </is>
      </c>
      <c r="R1" s="2" t="inlineStr">
        <is>
          <t>prompt_version_reviewer</t>
        </is>
      </c>
      <c r="S1" s="2" t="inlineStr">
        <is>
          <t>rubric_version</t>
        </is>
      </c>
      <c r="T1" s="2" t="inlineStr">
        <is>
          <t>policy_version</t>
        </is>
      </c>
      <c r="U1" s="2" t="inlineStr">
        <is>
          <t>ground_truth_set_id</t>
        </is>
      </c>
      <c r="V1" s="2" t="inlineStr">
        <is>
          <t>requested_question_count</t>
        </is>
      </c>
      <c r="W1" s="2" t="inlineStr">
        <is>
          <t>generated_question_count</t>
        </is>
      </c>
      <c r="X1" s="2" t="inlineStr">
        <is>
          <t>accepted_question_count</t>
        </is>
      </c>
      <c r="Y1" s="2" t="inlineStr">
        <is>
          <t>rejected_question_count</t>
        </is>
      </c>
      <c r="Z1" s="2" t="inlineStr">
        <is>
          <t>revision_rounds</t>
        </is>
      </c>
      <c r="AA1" s="2" t="inlineStr">
        <is>
          <t>generator_input_tokens</t>
        </is>
      </c>
      <c r="AB1" s="2" t="inlineStr">
        <is>
          <t>generator_output_tokens</t>
        </is>
      </c>
      <c r="AC1" s="2" t="inlineStr">
        <is>
          <t>reviewer_input_tokens</t>
        </is>
      </c>
      <c r="AD1" s="2" t="inlineStr">
        <is>
          <t>reviewer_output_tokens</t>
        </is>
      </c>
      <c r="AE1" s="2" t="inlineStr">
        <is>
          <t>total_tokens</t>
        </is>
      </c>
      <c r="AF1" s="2" t="inlineStr">
        <is>
          <t>generator_cost_usd</t>
        </is>
      </c>
      <c r="AG1" s="2" t="inlineStr">
        <is>
          <t>reviewer_cost_usd</t>
        </is>
      </c>
      <c r="AH1" s="2" t="inlineStr">
        <is>
          <t>total_cost_usd</t>
        </is>
      </c>
      <c r="AI1" s="2" t="inlineStr">
        <is>
          <t>latency_ms</t>
        </is>
      </c>
      <c r="AJ1" s="2" t="inlineStr">
        <is>
          <t>schema_valid_rate</t>
        </is>
      </c>
      <c r="AK1" s="2" t="inlineStr">
        <is>
          <t>grounded_rate</t>
        </is>
      </c>
      <c r="AL1" s="2" t="inlineStr">
        <is>
          <t>difficulty_alignment_score</t>
        </is>
      </c>
      <c r="AM1" s="2" t="inlineStr">
        <is>
          <t>topic_relevance_score</t>
        </is>
      </c>
      <c r="AN1" s="2" t="inlineStr">
        <is>
          <t>question_clarity_score</t>
        </is>
      </c>
      <c r="AO1" s="2" t="inlineStr">
        <is>
          <t>question_usefulness_score</t>
        </is>
      </c>
      <c r="AP1" s="2" t="inlineStr">
        <is>
          <t>distractor_quality_score</t>
        </is>
      </c>
      <c r="AQ1" s="2" t="inlineStr">
        <is>
          <t>testcase_quality_score</t>
        </is>
      </c>
      <c r="AR1" s="2" t="inlineStr">
        <is>
          <t>rule_based_pass_rate</t>
        </is>
      </c>
      <c r="AS1" s="5" t="inlineStr">
        <is>
          <t>final_quality_score</t>
        </is>
      </c>
      <c r="AT1" s="5" t="inlineStr">
        <is>
          <t>quality_cost_index</t>
        </is>
      </c>
      <c r="AU1" s="5" t="inlineStr">
        <is>
          <t>quality_latency_index</t>
        </is>
      </c>
      <c r="AV1" s="2" t="inlineStr">
        <is>
          <t>pass_fail</t>
        </is>
      </c>
      <c r="AW1" s="2" t="inlineStr">
        <is>
          <t>failure_reason</t>
        </is>
      </c>
      <c r="AX1" s="2" t="inlineStr">
        <is>
          <t>notes</t>
        </is>
      </c>
    </row>
    <row r="2">
      <c r="A2" s="3" t="inlineStr">
        <is>
          <t>gen-2026-07-18-001</t>
        </is>
      </c>
      <c r="B2" s="3" t="inlineStr">
        <is>
          <t>2026-07-18</t>
        </is>
      </c>
      <c r="C2" s="3" t="inlineStr">
        <is>
          <t>Tester_A</t>
        </is>
      </c>
      <c r="D2" s="3" t="inlineStr">
        <is>
          <t>C</t>
        </is>
      </c>
      <c r="E2" s="3" t="inlineStr">
        <is>
          <t>FE</t>
        </is>
      </c>
      <c r="F2" s="3" t="inlineStr">
        <is>
          <t>Medium</t>
        </is>
      </c>
      <c r="G2" s="3" t="inlineStr">
        <is>
          <t>single_question_precise</t>
        </is>
      </c>
      <c r="H2" s="3" t="inlineStr">
        <is>
          <t>gpt-4o-mini</t>
        </is>
      </c>
      <c r="I2" s="3" t="inlineStr">
        <is>
          <t>gpt-4o-mini</t>
        </is>
      </c>
      <c r="J2" s="3" t="inlineStr">
        <is>
          <t>SameModelDualRole</t>
        </is>
      </c>
      <c r="K2" s="3" t="inlineStr">
        <is>
          <t>context-pack</t>
        </is>
      </c>
      <c r="L2" s="3" t="inlineStr">
        <is>
          <t>pack-c-variables-medium-001</t>
        </is>
      </c>
      <c r="M2" s="3" t="inlineStr">
        <is>
          <t>6</t>
        </is>
      </c>
      <c r="N2" s="3" t="inlineStr">
        <is>
          <t>2850</t>
        </is>
      </c>
      <c r="O2" s="3" t="inlineStr">
        <is>
          <t>0.42</t>
        </is>
      </c>
      <c r="P2" s="3" t="inlineStr">
        <is>
          <t>retrieval+pack</t>
        </is>
      </c>
      <c r="Q2" s="3" t="inlineStr">
        <is>
          <t>prompt.gen.fe.c.v4</t>
        </is>
      </c>
      <c r="R2" s="3" t="inlineStr">
        <is>
          <t>prompt.review.fe.c.v3</t>
        </is>
      </c>
      <c r="S2" s="3" t="inlineStr">
        <is>
          <t>rubric.fe.c.v2</t>
        </is>
      </c>
      <c r="T2" s="3" t="inlineStr">
        <is>
          <t>policy.gen-review.v2</t>
        </is>
      </c>
      <c r="U2" s="3" t="inlineStr">
        <is>
          <t>gt-fe-c-001</t>
        </is>
      </c>
      <c r="V2" s="3" t="inlineStr">
        <is>
          <t>1</t>
        </is>
      </c>
      <c r="W2" s="3" t="inlineStr">
        <is>
          <t>1</t>
        </is>
      </c>
      <c r="X2" s="3" t="inlineStr">
        <is>
          <t>1</t>
        </is>
      </c>
      <c r="Y2" s="3" t="inlineStr">
        <is>
          <t>0</t>
        </is>
      </c>
      <c r="Z2" s="3" t="inlineStr">
        <is>
          <t>1</t>
        </is>
      </c>
      <c r="AA2" s="3" t="inlineStr">
        <is>
          <t>7920</t>
        </is>
      </c>
      <c r="AB2" s="3" t="inlineStr">
        <is>
          <t>612</t>
        </is>
      </c>
      <c r="AC2" s="3" t="inlineStr">
        <is>
          <t>4310</t>
        </is>
      </c>
      <c r="AD2" s="3" t="inlineStr">
        <is>
          <t>288</t>
        </is>
      </c>
      <c r="AE2" s="3" t="inlineStr">
        <is>
          <t>13130</t>
        </is>
      </c>
      <c r="AF2" s="3" t="inlineStr">
        <is>
          <t>0.005940</t>
        </is>
      </c>
      <c r="AG2" s="3" t="inlineStr">
        <is>
          <t>0.002462</t>
        </is>
      </c>
      <c r="AH2" s="3" t="inlineStr">
        <is>
          <t>0.008402</t>
        </is>
      </c>
      <c r="AI2" s="3" t="inlineStr">
        <is>
          <t>22840</t>
        </is>
      </c>
      <c r="AJ2" s="3" t="inlineStr">
        <is>
          <t>1.00</t>
        </is>
      </c>
      <c r="AK2" s="3" t="inlineStr">
        <is>
          <t>0.88</t>
        </is>
      </c>
      <c r="AL2" s="3" t="inlineStr">
        <is>
          <t>0.84</t>
        </is>
      </c>
      <c r="AM2" s="3" t="inlineStr">
        <is>
          <t>0.91</t>
        </is>
      </c>
      <c r="AN2" s="3" t="inlineStr">
        <is>
          <t>0.86</t>
        </is>
      </c>
      <c r="AO2" s="3" t="inlineStr">
        <is>
          <t>0.82</t>
        </is>
      </c>
      <c r="AP2" s="3" t="inlineStr">
        <is>
          <t>0.80</t>
        </is>
      </c>
      <c r="AQ2" s="3" t="inlineStr"/>
      <c r="AR2" s="3" t="inlineStr">
        <is>
          <t>0.89</t>
        </is>
      </c>
      <c r="AS2" s="6">
        <f>IF(E2="FE",ROUND(AJ2*0.15+AK2*0.23+AL2*0.15+AM2*0.15+AN2*0.1+AO2*0.1+AP2*0.07+AR2*0.05,3),IF(E2="PE",ROUND(AJ2*0.15+AK2*0.23+AL2*0.15+AM2*0.15+AN2*0.08+AO2*0.1+AQ2*0.09+AR2*0.05,3),""))</f>
        <v/>
      </c>
      <c r="AT2" s="6">
        <f>IFERROR(ROUND(AS2/(AH2+0.0001),3),"")</f>
        <v/>
      </c>
      <c r="AU2" s="6">
        <f>IFERROR(ROUND(AS2/(AI2/1000),3),"")</f>
        <v/>
      </c>
      <c r="AV2" s="3" t="inlineStr">
        <is>
          <t>Pass</t>
        </is>
      </c>
      <c r="AW2" s="3" t="inlineStr"/>
      <c r="AX2" s="3" t="inlineStr">
        <is>
          <t>Question is grounded and self-contained</t>
        </is>
      </c>
    </row>
    <row r="3">
      <c r="AS3" s="6">
        <f>IF(E3="FE",ROUND(AJ3*0.15+AK3*0.23+AL3*0.15+AM3*0.15+AN3*0.1+AO3*0.1+AP3*0.07+AR3*0.05,3),IF(E3="PE",ROUND(AJ3*0.15+AK3*0.23+AL3*0.15+AM3*0.15+AN3*0.08+AO3*0.1+AQ3*0.09+AR3*0.05,3),""))</f>
        <v/>
      </c>
      <c r="AT3" s="6">
        <f>IFERROR(ROUND(AS3/(AH3+0.0001),3),"")</f>
        <v/>
      </c>
      <c r="AU3" s="6">
        <f>IFERROR(ROUND(AS3/(AI3/1000),3),"")</f>
        <v/>
      </c>
    </row>
    <row r="4">
      <c r="AS4" s="6">
        <f>IF(E4="FE",ROUND(AJ4*0.15+AK4*0.23+AL4*0.15+AM4*0.15+AN4*0.1+AO4*0.1+AP4*0.07+AR4*0.05,3),IF(E4="PE",ROUND(AJ4*0.15+AK4*0.23+AL4*0.15+AM4*0.15+AN4*0.08+AO4*0.1+AQ4*0.09+AR4*0.05,3),""))</f>
        <v/>
      </c>
      <c r="AT4" s="6">
        <f>IFERROR(ROUND(AS4/(AH4+0.0001),3),"")</f>
        <v/>
      </c>
      <c r="AU4" s="6">
        <f>IFERROR(ROUND(AS4/(AI4/1000),3),"")</f>
        <v/>
      </c>
    </row>
    <row r="5">
      <c r="AS5" s="6">
        <f>IF(E5="FE",ROUND(AJ5*0.15+AK5*0.23+AL5*0.15+AM5*0.15+AN5*0.1+AO5*0.1+AP5*0.07+AR5*0.05,3),IF(E5="PE",ROUND(AJ5*0.15+AK5*0.23+AL5*0.15+AM5*0.15+AN5*0.08+AO5*0.1+AQ5*0.09+AR5*0.05,3),""))</f>
        <v/>
      </c>
      <c r="AT5" s="6">
        <f>IFERROR(ROUND(AS5/(AH5+0.0001),3),"")</f>
        <v/>
      </c>
      <c r="AU5" s="6">
        <f>IFERROR(ROUND(AS5/(AI5/1000),3),"")</f>
        <v/>
      </c>
    </row>
    <row r="6">
      <c r="AS6" s="6">
        <f>IF(E6="FE",ROUND(AJ6*0.15+AK6*0.23+AL6*0.15+AM6*0.15+AN6*0.1+AO6*0.1+AP6*0.07+AR6*0.05,3),IF(E6="PE",ROUND(AJ6*0.15+AK6*0.23+AL6*0.15+AM6*0.15+AN6*0.08+AO6*0.1+AQ6*0.09+AR6*0.05,3),""))</f>
        <v/>
      </c>
      <c r="AT6" s="6">
        <f>IFERROR(ROUND(AS6/(AH6+0.0001),3),"")</f>
        <v/>
      </c>
      <c r="AU6" s="6">
        <f>IFERROR(ROUND(AS6/(AI6/1000),3),"")</f>
        <v/>
      </c>
    </row>
    <row r="7">
      <c r="AS7" s="6">
        <f>IF(E7="FE",ROUND(AJ7*0.15+AK7*0.23+AL7*0.15+AM7*0.15+AN7*0.1+AO7*0.1+AP7*0.07+AR7*0.05,3),IF(E7="PE",ROUND(AJ7*0.15+AK7*0.23+AL7*0.15+AM7*0.15+AN7*0.08+AO7*0.1+AQ7*0.09+AR7*0.05,3),""))</f>
        <v/>
      </c>
      <c r="AT7" s="6">
        <f>IFERROR(ROUND(AS7/(AH7+0.0001),3),"")</f>
        <v/>
      </c>
      <c r="AU7" s="6">
        <f>IFERROR(ROUND(AS7/(AI7/1000),3),"")</f>
        <v/>
      </c>
    </row>
    <row r="8">
      <c r="AS8" s="6">
        <f>IF(E8="FE",ROUND(AJ8*0.15+AK8*0.23+AL8*0.15+AM8*0.15+AN8*0.1+AO8*0.1+AP8*0.07+AR8*0.05,3),IF(E8="PE",ROUND(AJ8*0.15+AK8*0.23+AL8*0.15+AM8*0.15+AN8*0.08+AO8*0.1+AQ8*0.09+AR8*0.05,3),""))</f>
        <v/>
      </c>
      <c r="AT8" s="6">
        <f>IFERROR(ROUND(AS8/(AH8+0.0001),3),"")</f>
        <v/>
      </c>
      <c r="AU8" s="6">
        <f>IFERROR(ROUND(AS8/(AI8/1000),3),"")</f>
        <v/>
      </c>
    </row>
    <row r="9">
      <c r="AS9" s="6">
        <f>IF(E9="FE",ROUND(AJ9*0.15+AK9*0.23+AL9*0.15+AM9*0.15+AN9*0.1+AO9*0.1+AP9*0.07+AR9*0.05,3),IF(E9="PE",ROUND(AJ9*0.15+AK9*0.23+AL9*0.15+AM9*0.15+AN9*0.08+AO9*0.1+AQ9*0.09+AR9*0.05,3),""))</f>
        <v/>
      </c>
      <c r="AT9" s="6">
        <f>IFERROR(ROUND(AS9/(AH9+0.0001),3),"")</f>
        <v/>
      </c>
      <c r="AU9" s="6">
        <f>IFERROR(ROUND(AS9/(AI9/1000),3),"")</f>
        <v/>
      </c>
    </row>
    <row r="10">
      <c r="AS10" s="6">
        <f>IF(E10="FE",ROUND(AJ10*0.15+AK10*0.23+AL10*0.15+AM10*0.15+AN10*0.1+AO10*0.1+AP10*0.07+AR10*0.05,3),IF(E10="PE",ROUND(AJ10*0.15+AK10*0.23+AL10*0.15+AM10*0.15+AN10*0.08+AO10*0.1+AQ10*0.09+AR10*0.05,3),""))</f>
        <v/>
      </c>
      <c r="AT10" s="6">
        <f>IFERROR(ROUND(AS10/(AH10+0.0001),3),"")</f>
        <v/>
      </c>
      <c r="AU10" s="6">
        <f>IFERROR(ROUND(AS10/(AI10/1000),3),"")</f>
        <v/>
      </c>
    </row>
    <row r="11">
      <c r="AS11" s="6">
        <f>IF(E11="FE",ROUND(AJ11*0.15+AK11*0.23+AL11*0.15+AM11*0.15+AN11*0.1+AO11*0.1+AP11*0.07+AR11*0.05,3),IF(E11="PE",ROUND(AJ11*0.15+AK11*0.23+AL11*0.15+AM11*0.15+AN11*0.08+AO11*0.1+AQ11*0.09+AR11*0.05,3),""))</f>
        <v/>
      </c>
      <c r="AT11" s="6">
        <f>IFERROR(ROUND(AS11/(AH11+0.0001),3),"")</f>
        <v/>
      </c>
      <c r="AU11" s="6">
        <f>IFERROR(ROUND(AS11/(AI11/1000),3),"")</f>
        <v/>
      </c>
    </row>
    <row r="12">
      <c r="AS12" s="6">
        <f>IF(E12="FE",ROUND(AJ12*0.15+AK12*0.23+AL12*0.15+AM12*0.15+AN12*0.1+AO12*0.1+AP12*0.07+AR12*0.05,3),IF(E12="PE",ROUND(AJ12*0.15+AK12*0.23+AL12*0.15+AM12*0.15+AN12*0.08+AO12*0.1+AQ12*0.09+AR12*0.05,3),""))</f>
        <v/>
      </c>
      <c r="AT12" s="6">
        <f>IFERROR(ROUND(AS12/(AH12+0.0001),3),"")</f>
        <v/>
      </c>
      <c r="AU12" s="6">
        <f>IFERROR(ROUND(AS12/(AI12/1000),3),"")</f>
        <v/>
      </c>
    </row>
    <row r="13">
      <c r="AS13" s="6">
        <f>IF(E13="FE",ROUND(AJ13*0.15+AK13*0.23+AL13*0.15+AM13*0.15+AN13*0.1+AO13*0.1+AP13*0.07+AR13*0.05,3),IF(E13="PE",ROUND(AJ13*0.15+AK13*0.23+AL13*0.15+AM13*0.15+AN13*0.08+AO13*0.1+AQ13*0.09+AR13*0.05,3),""))</f>
        <v/>
      </c>
      <c r="AT13" s="6">
        <f>IFERROR(ROUND(AS13/(AH13+0.0001),3),"")</f>
        <v/>
      </c>
      <c r="AU13" s="6">
        <f>IFERROR(ROUND(AS13/(AI13/1000),3),"")</f>
        <v/>
      </c>
    </row>
    <row r="14">
      <c r="AS14" s="6">
        <f>IF(E14="FE",ROUND(AJ14*0.15+AK14*0.23+AL14*0.15+AM14*0.15+AN14*0.1+AO14*0.1+AP14*0.07+AR14*0.05,3),IF(E14="PE",ROUND(AJ14*0.15+AK14*0.23+AL14*0.15+AM14*0.15+AN14*0.08+AO14*0.1+AQ14*0.09+AR14*0.05,3),""))</f>
        <v/>
      </c>
      <c r="AT14" s="6">
        <f>IFERROR(ROUND(AS14/(AH14+0.0001),3),"")</f>
        <v/>
      </c>
      <c r="AU14" s="6">
        <f>IFERROR(ROUND(AS14/(AI14/1000),3),"")</f>
        <v/>
      </c>
    </row>
    <row r="15">
      <c r="AS15" s="6">
        <f>IF(E15="FE",ROUND(AJ15*0.15+AK15*0.23+AL15*0.15+AM15*0.15+AN15*0.1+AO15*0.1+AP15*0.07+AR15*0.05,3),IF(E15="PE",ROUND(AJ15*0.15+AK15*0.23+AL15*0.15+AM15*0.15+AN15*0.08+AO15*0.1+AQ15*0.09+AR15*0.05,3),""))</f>
        <v/>
      </c>
      <c r="AT15" s="6">
        <f>IFERROR(ROUND(AS15/(AH15+0.0001),3),"")</f>
        <v/>
      </c>
      <c r="AU15" s="6">
        <f>IFERROR(ROUND(AS15/(AI15/1000),3),"")</f>
        <v/>
      </c>
    </row>
    <row r="16">
      <c r="AS16" s="6">
        <f>IF(E16="FE",ROUND(AJ16*0.15+AK16*0.23+AL16*0.15+AM16*0.15+AN16*0.1+AO16*0.1+AP16*0.07+AR16*0.05,3),IF(E16="PE",ROUND(AJ16*0.15+AK16*0.23+AL16*0.15+AM16*0.15+AN16*0.08+AO16*0.1+AQ16*0.09+AR16*0.05,3),""))</f>
        <v/>
      </c>
      <c r="AT16" s="6">
        <f>IFERROR(ROUND(AS16/(AH16+0.0001),3),"")</f>
        <v/>
      </c>
      <c r="AU16" s="6">
        <f>IFERROR(ROUND(AS16/(AI16/1000),3),"")</f>
        <v/>
      </c>
    </row>
    <row r="17">
      <c r="AS17" s="6">
        <f>IF(E17="FE",ROUND(AJ17*0.15+AK17*0.23+AL17*0.15+AM17*0.15+AN17*0.1+AO17*0.1+AP17*0.07+AR17*0.05,3),IF(E17="PE",ROUND(AJ17*0.15+AK17*0.23+AL17*0.15+AM17*0.15+AN17*0.08+AO17*0.1+AQ17*0.09+AR17*0.05,3),""))</f>
        <v/>
      </c>
      <c r="AT17" s="6">
        <f>IFERROR(ROUND(AS17/(AH17+0.0001),3),"")</f>
        <v/>
      </c>
      <c r="AU17" s="6">
        <f>IFERROR(ROUND(AS17/(AI17/1000),3),"")</f>
        <v/>
      </c>
    </row>
    <row r="18">
      <c r="AS18" s="6">
        <f>IF(E18="FE",ROUND(AJ18*0.15+AK18*0.23+AL18*0.15+AM18*0.15+AN18*0.1+AO18*0.1+AP18*0.07+AR18*0.05,3),IF(E18="PE",ROUND(AJ18*0.15+AK18*0.23+AL18*0.15+AM18*0.15+AN18*0.08+AO18*0.1+AQ18*0.09+AR18*0.05,3),""))</f>
        <v/>
      </c>
      <c r="AT18" s="6">
        <f>IFERROR(ROUND(AS18/(AH18+0.0001),3),"")</f>
        <v/>
      </c>
      <c r="AU18" s="6">
        <f>IFERROR(ROUND(AS18/(AI18/1000),3),"")</f>
        <v/>
      </c>
    </row>
    <row r="19">
      <c r="AS19" s="6">
        <f>IF(E19="FE",ROUND(AJ19*0.15+AK19*0.23+AL19*0.15+AM19*0.15+AN19*0.1+AO19*0.1+AP19*0.07+AR19*0.05,3),IF(E19="PE",ROUND(AJ19*0.15+AK19*0.23+AL19*0.15+AM19*0.15+AN19*0.08+AO19*0.1+AQ19*0.09+AR19*0.05,3),""))</f>
        <v/>
      </c>
      <c r="AT19" s="6">
        <f>IFERROR(ROUND(AS19/(AH19+0.0001),3),"")</f>
        <v/>
      </c>
      <c r="AU19" s="6">
        <f>IFERROR(ROUND(AS19/(AI19/1000),3),"")</f>
        <v/>
      </c>
    </row>
    <row r="20">
      <c r="AS20" s="6">
        <f>IF(E20="FE",ROUND(AJ20*0.15+AK20*0.23+AL20*0.15+AM20*0.15+AN20*0.1+AO20*0.1+AP20*0.07+AR20*0.05,3),IF(E20="PE",ROUND(AJ20*0.15+AK20*0.23+AL20*0.15+AM20*0.15+AN20*0.08+AO20*0.1+AQ20*0.09+AR20*0.05,3),""))</f>
        <v/>
      </c>
      <c r="AT20" s="6">
        <f>IFERROR(ROUND(AS20/(AH20+0.0001),3),"")</f>
        <v/>
      </c>
      <c r="AU20" s="6">
        <f>IFERROR(ROUND(AS20/(AI20/1000),3),"")</f>
        <v/>
      </c>
    </row>
    <row r="21">
      <c r="AS21" s="6">
        <f>IF(E21="FE",ROUND(AJ21*0.15+AK21*0.23+AL21*0.15+AM21*0.15+AN21*0.1+AO21*0.1+AP21*0.07+AR21*0.05,3),IF(E21="PE",ROUND(AJ21*0.15+AK21*0.23+AL21*0.15+AM21*0.15+AN21*0.08+AO21*0.1+AQ21*0.09+AR21*0.05,3),""))</f>
        <v/>
      </c>
      <c r="AT21" s="6">
        <f>IFERROR(ROUND(AS21/(AH21+0.0001),3),"")</f>
        <v/>
      </c>
      <c r="AU21" s="6">
        <f>IFERROR(ROUND(AS21/(AI21/1000),3),"")</f>
        <v/>
      </c>
    </row>
    <row r="22">
      <c r="AS22" s="6">
        <f>IF(E22="FE",ROUND(AJ22*0.15+AK22*0.23+AL22*0.15+AM22*0.15+AN22*0.1+AO22*0.1+AP22*0.07+AR22*0.05,3),IF(E22="PE",ROUND(AJ22*0.15+AK22*0.23+AL22*0.15+AM22*0.15+AN22*0.08+AO22*0.1+AQ22*0.09+AR22*0.05,3),""))</f>
        <v/>
      </c>
      <c r="AT22" s="6">
        <f>IFERROR(ROUND(AS22/(AH22+0.0001),3),"")</f>
        <v/>
      </c>
      <c r="AU22" s="6">
        <f>IFERROR(ROUND(AS22/(AI22/1000),3),"")</f>
        <v/>
      </c>
    </row>
    <row r="23">
      <c r="AS23" s="6">
        <f>IF(E23="FE",ROUND(AJ23*0.15+AK23*0.23+AL23*0.15+AM23*0.15+AN23*0.1+AO23*0.1+AP23*0.07+AR23*0.05,3),IF(E23="PE",ROUND(AJ23*0.15+AK23*0.23+AL23*0.15+AM23*0.15+AN23*0.08+AO23*0.1+AQ23*0.09+AR23*0.05,3),""))</f>
        <v/>
      </c>
      <c r="AT23" s="6">
        <f>IFERROR(ROUND(AS23/(AH23+0.0001),3),"")</f>
        <v/>
      </c>
      <c r="AU23" s="6">
        <f>IFERROR(ROUND(AS23/(AI23/1000),3),"")</f>
        <v/>
      </c>
    </row>
    <row r="24">
      <c r="AS24" s="6">
        <f>IF(E24="FE",ROUND(AJ24*0.15+AK24*0.23+AL24*0.15+AM24*0.15+AN24*0.1+AO24*0.1+AP24*0.07+AR24*0.05,3),IF(E24="PE",ROUND(AJ24*0.15+AK24*0.23+AL24*0.15+AM24*0.15+AN24*0.08+AO24*0.1+AQ24*0.09+AR24*0.05,3),""))</f>
        <v/>
      </c>
      <c r="AT24" s="6">
        <f>IFERROR(ROUND(AS24/(AH24+0.0001),3),"")</f>
        <v/>
      </c>
      <c r="AU24" s="6">
        <f>IFERROR(ROUND(AS24/(AI24/1000),3),"")</f>
        <v/>
      </c>
    </row>
    <row r="25">
      <c r="AS25" s="6">
        <f>IF(E25="FE",ROUND(AJ25*0.15+AK25*0.23+AL25*0.15+AM25*0.15+AN25*0.1+AO25*0.1+AP25*0.07+AR25*0.05,3),IF(E25="PE",ROUND(AJ25*0.15+AK25*0.23+AL25*0.15+AM25*0.15+AN25*0.08+AO25*0.1+AQ25*0.09+AR25*0.05,3),""))</f>
        <v/>
      </c>
      <c r="AT25" s="6">
        <f>IFERROR(ROUND(AS25/(AH25+0.0001),3),"")</f>
        <v/>
      </c>
      <c r="AU25" s="6">
        <f>IFERROR(ROUND(AS25/(AI25/1000),3),"")</f>
        <v/>
      </c>
    </row>
    <row r="26">
      <c r="AS26" s="6">
        <f>IF(E26="FE",ROUND(AJ26*0.15+AK26*0.23+AL26*0.15+AM26*0.15+AN26*0.1+AO26*0.1+AP26*0.07+AR26*0.05,3),IF(E26="PE",ROUND(AJ26*0.15+AK26*0.23+AL26*0.15+AM26*0.15+AN26*0.08+AO26*0.1+AQ26*0.09+AR26*0.05,3),""))</f>
        <v/>
      </c>
      <c r="AT26" s="6">
        <f>IFERROR(ROUND(AS26/(AH26+0.0001),3),"")</f>
        <v/>
      </c>
      <c r="AU26" s="6">
        <f>IFERROR(ROUND(AS26/(AI26/1000),3),"")</f>
        <v/>
      </c>
    </row>
    <row r="27">
      <c r="AS27" s="6">
        <f>IF(E27="FE",ROUND(AJ27*0.15+AK27*0.23+AL27*0.15+AM27*0.15+AN27*0.1+AO27*0.1+AP27*0.07+AR27*0.05,3),IF(E27="PE",ROUND(AJ27*0.15+AK27*0.23+AL27*0.15+AM27*0.15+AN27*0.08+AO27*0.1+AQ27*0.09+AR27*0.05,3),""))</f>
        <v/>
      </c>
      <c r="AT27" s="6">
        <f>IFERROR(ROUND(AS27/(AH27+0.0001),3),"")</f>
        <v/>
      </c>
      <c r="AU27" s="6">
        <f>IFERROR(ROUND(AS27/(AI27/1000),3),"")</f>
        <v/>
      </c>
    </row>
    <row r="28">
      <c r="AS28" s="6">
        <f>IF(E28="FE",ROUND(AJ28*0.15+AK28*0.23+AL28*0.15+AM28*0.15+AN28*0.1+AO28*0.1+AP28*0.07+AR28*0.05,3),IF(E28="PE",ROUND(AJ28*0.15+AK28*0.23+AL28*0.15+AM28*0.15+AN28*0.08+AO28*0.1+AQ28*0.09+AR28*0.05,3),""))</f>
        <v/>
      </c>
      <c r="AT28" s="6">
        <f>IFERROR(ROUND(AS28/(AH28+0.0001),3),"")</f>
        <v/>
      </c>
      <c r="AU28" s="6">
        <f>IFERROR(ROUND(AS28/(AI28/1000),3),"")</f>
        <v/>
      </c>
    </row>
    <row r="29">
      <c r="AS29" s="6">
        <f>IF(E29="FE",ROUND(AJ29*0.15+AK29*0.23+AL29*0.15+AM29*0.15+AN29*0.1+AO29*0.1+AP29*0.07+AR29*0.05,3),IF(E29="PE",ROUND(AJ29*0.15+AK29*0.23+AL29*0.15+AM29*0.15+AN29*0.08+AO29*0.1+AQ29*0.09+AR29*0.05,3),""))</f>
        <v/>
      </c>
      <c r="AT29" s="6">
        <f>IFERROR(ROUND(AS29/(AH29+0.0001),3),"")</f>
        <v/>
      </c>
      <c r="AU29" s="6">
        <f>IFERROR(ROUND(AS29/(AI29/1000),3),"")</f>
        <v/>
      </c>
    </row>
    <row r="30">
      <c r="AS30" s="6">
        <f>IF(E30="FE",ROUND(AJ30*0.15+AK30*0.23+AL30*0.15+AM30*0.15+AN30*0.1+AO30*0.1+AP30*0.07+AR30*0.05,3),IF(E30="PE",ROUND(AJ30*0.15+AK30*0.23+AL30*0.15+AM30*0.15+AN30*0.08+AO30*0.1+AQ30*0.09+AR30*0.05,3),""))</f>
        <v/>
      </c>
      <c r="AT30" s="6">
        <f>IFERROR(ROUND(AS30/(AH30+0.0001),3),"")</f>
        <v/>
      </c>
      <c r="AU30" s="6">
        <f>IFERROR(ROUND(AS30/(AI30/1000),3),"")</f>
        <v/>
      </c>
    </row>
    <row r="31">
      <c r="AS31" s="6">
        <f>IF(E31="FE",ROUND(AJ31*0.15+AK31*0.23+AL31*0.15+AM31*0.15+AN31*0.1+AO31*0.1+AP31*0.07+AR31*0.05,3),IF(E31="PE",ROUND(AJ31*0.15+AK31*0.23+AL31*0.15+AM31*0.15+AN31*0.08+AO31*0.1+AQ31*0.09+AR31*0.05,3),""))</f>
        <v/>
      </c>
      <c r="AT31" s="6">
        <f>IFERROR(ROUND(AS31/(AH31+0.0001),3),"")</f>
        <v/>
      </c>
      <c r="AU31" s="6">
        <f>IFERROR(ROUND(AS31/(AI31/1000),3),"")</f>
        <v/>
      </c>
    </row>
    <row r="32">
      <c r="AS32" s="6">
        <f>IF(E32="FE",ROUND(AJ32*0.15+AK32*0.23+AL32*0.15+AM32*0.15+AN32*0.1+AO32*0.1+AP32*0.07+AR32*0.05,3),IF(E32="PE",ROUND(AJ32*0.15+AK32*0.23+AL32*0.15+AM32*0.15+AN32*0.08+AO32*0.1+AQ32*0.09+AR32*0.05,3),""))</f>
        <v/>
      </c>
      <c r="AT32" s="6">
        <f>IFERROR(ROUND(AS32/(AH32+0.0001),3),"")</f>
        <v/>
      </c>
      <c r="AU32" s="6">
        <f>IFERROR(ROUND(AS32/(AI32/1000),3),"")</f>
        <v/>
      </c>
    </row>
    <row r="33">
      <c r="AS33" s="6">
        <f>IF(E33="FE",ROUND(AJ33*0.15+AK33*0.23+AL33*0.15+AM33*0.15+AN33*0.1+AO33*0.1+AP33*0.07+AR33*0.05,3),IF(E33="PE",ROUND(AJ33*0.15+AK33*0.23+AL33*0.15+AM33*0.15+AN33*0.08+AO33*0.1+AQ33*0.09+AR33*0.05,3),""))</f>
        <v/>
      </c>
      <c r="AT33" s="6">
        <f>IFERROR(ROUND(AS33/(AH33+0.0001),3),"")</f>
        <v/>
      </c>
      <c r="AU33" s="6">
        <f>IFERROR(ROUND(AS33/(AI33/1000),3),"")</f>
        <v/>
      </c>
    </row>
    <row r="34">
      <c r="AS34" s="6">
        <f>IF(E34="FE",ROUND(AJ34*0.15+AK34*0.23+AL34*0.15+AM34*0.15+AN34*0.1+AO34*0.1+AP34*0.07+AR34*0.05,3),IF(E34="PE",ROUND(AJ34*0.15+AK34*0.23+AL34*0.15+AM34*0.15+AN34*0.08+AO34*0.1+AQ34*0.09+AR34*0.05,3),""))</f>
        <v/>
      </c>
      <c r="AT34" s="6">
        <f>IFERROR(ROUND(AS34/(AH34+0.0001),3),"")</f>
        <v/>
      </c>
      <c r="AU34" s="6">
        <f>IFERROR(ROUND(AS34/(AI34/1000),3),"")</f>
        <v/>
      </c>
    </row>
    <row r="35">
      <c r="AS35" s="6">
        <f>IF(E35="FE",ROUND(AJ35*0.15+AK35*0.23+AL35*0.15+AM35*0.15+AN35*0.1+AO35*0.1+AP35*0.07+AR35*0.05,3),IF(E35="PE",ROUND(AJ35*0.15+AK35*0.23+AL35*0.15+AM35*0.15+AN35*0.08+AO35*0.1+AQ35*0.09+AR35*0.05,3),""))</f>
        <v/>
      </c>
      <c r="AT35" s="6">
        <f>IFERROR(ROUND(AS35/(AH35+0.0001),3),"")</f>
        <v/>
      </c>
      <c r="AU35" s="6">
        <f>IFERROR(ROUND(AS35/(AI35/1000),3),"")</f>
        <v/>
      </c>
    </row>
    <row r="36">
      <c r="AS36" s="6">
        <f>IF(E36="FE",ROUND(AJ36*0.15+AK36*0.23+AL36*0.15+AM36*0.15+AN36*0.1+AO36*0.1+AP36*0.07+AR36*0.05,3),IF(E36="PE",ROUND(AJ36*0.15+AK36*0.23+AL36*0.15+AM36*0.15+AN36*0.08+AO36*0.1+AQ36*0.09+AR36*0.05,3),""))</f>
        <v/>
      </c>
      <c r="AT36" s="6">
        <f>IFERROR(ROUND(AS36/(AH36+0.0001),3),"")</f>
        <v/>
      </c>
      <c r="AU36" s="6">
        <f>IFERROR(ROUND(AS36/(AI36/1000),3),"")</f>
        <v/>
      </c>
    </row>
    <row r="37">
      <c r="AS37" s="6">
        <f>IF(E37="FE",ROUND(AJ37*0.15+AK37*0.23+AL37*0.15+AM37*0.15+AN37*0.1+AO37*0.1+AP37*0.07+AR37*0.05,3),IF(E37="PE",ROUND(AJ37*0.15+AK37*0.23+AL37*0.15+AM37*0.15+AN37*0.08+AO37*0.1+AQ37*0.09+AR37*0.05,3),""))</f>
        <v/>
      </c>
      <c r="AT37" s="6">
        <f>IFERROR(ROUND(AS37/(AH37+0.0001),3),"")</f>
        <v/>
      </c>
      <c r="AU37" s="6">
        <f>IFERROR(ROUND(AS37/(AI37/1000),3),"")</f>
        <v/>
      </c>
    </row>
    <row r="38">
      <c r="AS38" s="6">
        <f>IF(E38="FE",ROUND(AJ38*0.15+AK38*0.23+AL38*0.15+AM38*0.15+AN38*0.1+AO38*0.1+AP38*0.07+AR38*0.05,3),IF(E38="PE",ROUND(AJ38*0.15+AK38*0.23+AL38*0.15+AM38*0.15+AN38*0.08+AO38*0.1+AQ38*0.09+AR38*0.05,3),""))</f>
        <v/>
      </c>
      <c r="AT38" s="6">
        <f>IFERROR(ROUND(AS38/(AH38+0.0001),3),"")</f>
        <v/>
      </c>
      <c r="AU38" s="6">
        <f>IFERROR(ROUND(AS38/(AI38/1000),3),"")</f>
        <v/>
      </c>
    </row>
    <row r="39">
      <c r="AS39" s="6">
        <f>IF(E39="FE",ROUND(AJ39*0.15+AK39*0.23+AL39*0.15+AM39*0.15+AN39*0.1+AO39*0.1+AP39*0.07+AR39*0.05,3),IF(E39="PE",ROUND(AJ39*0.15+AK39*0.23+AL39*0.15+AM39*0.15+AN39*0.08+AO39*0.1+AQ39*0.09+AR39*0.05,3),""))</f>
        <v/>
      </c>
      <c r="AT39" s="6">
        <f>IFERROR(ROUND(AS39/(AH39+0.0001),3),"")</f>
        <v/>
      </c>
      <c r="AU39" s="6">
        <f>IFERROR(ROUND(AS39/(AI39/1000),3),"")</f>
        <v/>
      </c>
    </row>
    <row r="40">
      <c r="AS40" s="6">
        <f>IF(E40="FE",ROUND(AJ40*0.15+AK40*0.23+AL40*0.15+AM40*0.15+AN40*0.1+AO40*0.1+AP40*0.07+AR40*0.05,3),IF(E40="PE",ROUND(AJ40*0.15+AK40*0.23+AL40*0.15+AM40*0.15+AN40*0.08+AO40*0.1+AQ40*0.09+AR40*0.05,3),""))</f>
        <v/>
      </c>
      <c r="AT40" s="6">
        <f>IFERROR(ROUND(AS40/(AH40+0.0001),3),"")</f>
        <v/>
      </c>
      <c r="AU40" s="6">
        <f>IFERROR(ROUND(AS40/(AI40/1000),3),"")</f>
        <v/>
      </c>
    </row>
    <row r="41">
      <c r="AS41" s="6">
        <f>IF(E41="FE",ROUND(AJ41*0.15+AK41*0.23+AL41*0.15+AM41*0.15+AN41*0.1+AO41*0.1+AP41*0.07+AR41*0.05,3),IF(E41="PE",ROUND(AJ41*0.15+AK41*0.23+AL41*0.15+AM41*0.15+AN41*0.08+AO41*0.1+AQ41*0.09+AR41*0.05,3),""))</f>
        <v/>
      </c>
      <c r="AT41" s="6">
        <f>IFERROR(ROUND(AS41/(AH41+0.0001),3),"")</f>
        <v/>
      </c>
      <c r="AU41" s="6">
        <f>IFERROR(ROUND(AS41/(AI41/1000),3),"")</f>
        <v/>
      </c>
    </row>
    <row r="42">
      <c r="AS42" s="6">
        <f>IF(E42="FE",ROUND(AJ42*0.15+AK42*0.23+AL42*0.15+AM42*0.15+AN42*0.1+AO42*0.1+AP42*0.07+AR42*0.05,3),IF(E42="PE",ROUND(AJ42*0.15+AK42*0.23+AL42*0.15+AM42*0.15+AN42*0.08+AO42*0.1+AQ42*0.09+AR42*0.05,3),""))</f>
        <v/>
      </c>
      <c r="AT42" s="6">
        <f>IFERROR(ROUND(AS42/(AH42+0.0001),3),"")</f>
        <v/>
      </c>
      <c r="AU42" s="6">
        <f>IFERROR(ROUND(AS42/(AI42/1000),3),"")</f>
        <v/>
      </c>
    </row>
    <row r="43">
      <c r="AS43" s="6">
        <f>IF(E43="FE",ROUND(AJ43*0.15+AK43*0.23+AL43*0.15+AM43*0.15+AN43*0.1+AO43*0.1+AP43*0.07+AR43*0.05,3),IF(E43="PE",ROUND(AJ43*0.15+AK43*0.23+AL43*0.15+AM43*0.15+AN43*0.08+AO43*0.1+AQ43*0.09+AR43*0.05,3),""))</f>
        <v/>
      </c>
      <c r="AT43" s="6">
        <f>IFERROR(ROUND(AS43/(AH43+0.0001),3),"")</f>
        <v/>
      </c>
      <c r="AU43" s="6">
        <f>IFERROR(ROUND(AS43/(AI43/1000),3),"")</f>
        <v/>
      </c>
    </row>
    <row r="44">
      <c r="AS44" s="6">
        <f>IF(E44="FE",ROUND(AJ44*0.15+AK44*0.23+AL44*0.15+AM44*0.15+AN44*0.1+AO44*0.1+AP44*0.07+AR44*0.05,3),IF(E44="PE",ROUND(AJ44*0.15+AK44*0.23+AL44*0.15+AM44*0.15+AN44*0.08+AO44*0.1+AQ44*0.09+AR44*0.05,3),""))</f>
        <v/>
      </c>
      <c r="AT44" s="6">
        <f>IFERROR(ROUND(AS44/(AH44+0.0001),3),"")</f>
        <v/>
      </c>
      <c r="AU44" s="6">
        <f>IFERROR(ROUND(AS44/(AI44/1000),3),"")</f>
        <v/>
      </c>
    </row>
    <row r="45">
      <c r="AS45" s="6">
        <f>IF(E45="FE",ROUND(AJ45*0.15+AK45*0.23+AL45*0.15+AM45*0.15+AN45*0.1+AO45*0.1+AP45*0.07+AR45*0.05,3),IF(E45="PE",ROUND(AJ45*0.15+AK45*0.23+AL45*0.15+AM45*0.15+AN45*0.08+AO45*0.1+AQ45*0.09+AR45*0.05,3),""))</f>
        <v/>
      </c>
      <c r="AT45" s="6">
        <f>IFERROR(ROUND(AS45/(AH45+0.0001),3),"")</f>
        <v/>
      </c>
      <c r="AU45" s="6">
        <f>IFERROR(ROUND(AS45/(AI45/1000),3),"")</f>
        <v/>
      </c>
    </row>
    <row r="46">
      <c r="AS46" s="6">
        <f>IF(E46="FE",ROUND(AJ46*0.15+AK46*0.23+AL46*0.15+AM46*0.15+AN46*0.1+AO46*0.1+AP46*0.07+AR46*0.05,3),IF(E46="PE",ROUND(AJ46*0.15+AK46*0.23+AL46*0.15+AM46*0.15+AN46*0.08+AO46*0.1+AQ46*0.09+AR46*0.05,3),""))</f>
        <v/>
      </c>
      <c r="AT46" s="6">
        <f>IFERROR(ROUND(AS46/(AH46+0.0001),3),"")</f>
        <v/>
      </c>
      <c r="AU46" s="6">
        <f>IFERROR(ROUND(AS46/(AI46/1000),3),"")</f>
        <v/>
      </c>
    </row>
    <row r="47">
      <c r="AS47" s="6">
        <f>IF(E47="FE",ROUND(AJ47*0.15+AK47*0.23+AL47*0.15+AM47*0.15+AN47*0.1+AO47*0.1+AP47*0.07+AR47*0.05,3),IF(E47="PE",ROUND(AJ47*0.15+AK47*0.23+AL47*0.15+AM47*0.15+AN47*0.08+AO47*0.1+AQ47*0.09+AR47*0.05,3),""))</f>
        <v/>
      </c>
      <c r="AT47" s="6">
        <f>IFERROR(ROUND(AS47/(AH47+0.0001),3),"")</f>
        <v/>
      </c>
      <c r="AU47" s="6">
        <f>IFERROR(ROUND(AS47/(AI47/1000),3),"")</f>
        <v/>
      </c>
    </row>
    <row r="48">
      <c r="AS48" s="6">
        <f>IF(E48="FE",ROUND(AJ48*0.15+AK48*0.23+AL48*0.15+AM48*0.15+AN48*0.1+AO48*0.1+AP48*0.07+AR48*0.05,3),IF(E48="PE",ROUND(AJ48*0.15+AK48*0.23+AL48*0.15+AM48*0.15+AN48*0.08+AO48*0.1+AQ48*0.09+AR48*0.05,3),""))</f>
        <v/>
      </c>
      <c r="AT48" s="6">
        <f>IFERROR(ROUND(AS48/(AH48+0.0001),3),"")</f>
        <v/>
      </c>
      <c r="AU48" s="6">
        <f>IFERROR(ROUND(AS48/(AI48/1000),3),"")</f>
        <v/>
      </c>
    </row>
    <row r="49">
      <c r="AS49" s="6">
        <f>IF(E49="FE",ROUND(AJ49*0.15+AK49*0.23+AL49*0.15+AM49*0.15+AN49*0.1+AO49*0.1+AP49*0.07+AR49*0.05,3),IF(E49="PE",ROUND(AJ49*0.15+AK49*0.23+AL49*0.15+AM49*0.15+AN49*0.08+AO49*0.1+AQ49*0.09+AR49*0.05,3),""))</f>
        <v/>
      </c>
      <c r="AT49" s="6">
        <f>IFERROR(ROUND(AS49/(AH49+0.0001),3),"")</f>
        <v/>
      </c>
      <c r="AU49" s="6">
        <f>IFERROR(ROUND(AS49/(AI49/1000),3),"")</f>
        <v/>
      </c>
    </row>
    <row r="50">
      <c r="AS50" s="6">
        <f>IF(E50="FE",ROUND(AJ50*0.15+AK50*0.23+AL50*0.15+AM50*0.15+AN50*0.1+AO50*0.1+AP50*0.07+AR50*0.05,3),IF(E50="PE",ROUND(AJ50*0.15+AK50*0.23+AL50*0.15+AM50*0.15+AN50*0.08+AO50*0.1+AQ50*0.09+AR50*0.05,3),""))</f>
        <v/>
      </c>
      <c r="AT50" s="6">
        <f>IFERROR(ROUND(AS50/(AH50+0.0001),3),"")</f>
        <v/>
      </c>
      <c r="AU50" s="6">
        <f>IFERROR(ROUND(AS50/(AI50/1000),3),"")</f>
        <v/>
      </c>
    </row>
    <row r="51">
      <c r="AS51" s="6">
        <f>IF(E51="FE",ROUND(AJ51*0.15+AK51*0.23+AL51*0.15+AM51*0.15+AN51*0.1+AO51*0.1+AP51*0.07+AR51*0.05,3),IF(E51="PE",ROUND(AJ51*0.15+AK51*0.23+AL51*0.15+AM51*0.15+AN51*0.08+AO51*0.1+AQ51*0.09+AR51*0.05,3),""))</f>
        <v/>
      </c>
      <c r="AT51" s="6">
        <f>IFERROR(ROUND(AS51/(AH51+0.0001),3),"")</f>
        <v/>
      </c>
      <c r="AU51" s="6">
        <f>IFERROR(ROUND(AS51/(AI51/1000),3),"")</f>
        <v/>
      </c>
    </row>
    <row r="52">
      <c r="AS52" s="6">
        <f>IF(E52="FE",ROUND(AJ52*0.15+AK52*0.23+AL52*0.15+AM52*0.15+AN52*0.1+AO52*0.1+AP52*0.07+AR52*0.05,3),IF(E52="PE",ROUND(AJ52*0.15+AK52*0.23+AL52*0.15+AM52*0.15+AN52*0.08+AO52*0.1+AQ52*0.09+AR52*0.05,3),""))</f>
        <v/>
      </c>
      <c r="AT52" s="6">
        <f>IFERROR(ROUND(AS52/(AH52+0.0001),3),"")</f>
        <v/>
      </c>
      <c r="AU52" s="6">
        <f>IFERROR(ROUND(AS52/(AI52/1000),3),"")</f>
        <v/>
      </c>
    </row>
    <row r="53">
      <c r="AS53" s="6">
        <f>IF(E53="FE",ROUND(AJ53*0.15+AK53*0.23+AL53*0.15+AM53*0.15+AN53*0.1+AO53*0.1+AP53*0.07+AR53*0.05,3),IF(E53="PE",ROUND(AJ53*0.15+AK53*0.23+AL53*0.15+AM53*0.15+AN53*0.08+AO53*0.1+AQ53*0.09+AR53*0.05,3),""))</f>
        <v/>
      </c>
      <c r="AT53" s="6">
        <f>IFERROR(ROUND(AS53/(AH53+0.0001),3),"")</f>
        <v/>
      </c>
      <c r="AU53" s="6">
        <f>IFERROR(ROUND(AS53/(AI53/1000),3),"")</f>
        <v/>
      </c>
    </row>
    <row r="54">
      <c r="AS54" s="6">
        <f>IF(E54="FE",ROUND(AJ54*0.15+AK54*0.23+AL54*0.15+AM54*0.15+AN54*0.1+AO54*0.1+AP54*0.07+AR54*0.05,3),IF(E54="PE",ROUND(AJ54*0.15+AK54*0.23+AL54*0.15+AM54*0.15+AN54*0.08+AO54*0.1+AQ54*0.09+AR54*0.05,3),""))</f>
        <v/>
      </c>
      <c r="AT54" s="6">
        <f>IFERROR(ROUND(AS54/(AH54+0.0001),3),"")</f>
        <v/>
      </c>
      <c r="AU54" s="6">
        <f>IFERROR(ROUND(AS54/(AI54/1000),3),"")</f>
        <v/>
      </c>
    </row>
    <row r="55">
      <c r="AS55" s="6">
        <f>IF(E55="FE",ROUND(AJ55*0.15+AK55*0.23+AL55*0.15+AM55*0.15+AN55*0.1+AO55*0.1+AP55*0.07+AR55*0.05,3),IF(E55="PE",ROUND(AJ55*0.15+AK55*0.23+AL55*0.15+AM55*0.15+AN55*0.08+AO55*0.1+AQ55*0.09+AR55*0.05,3),""))</f>
        <v/>
      </c>
      <c r="AT55" s="6">
        <f>IFERROR(ROUND(AS55/(AH55+0.0001),3),"")</f>
        <v/>
      </c>
      <c r="AU55" s="6">
        <f>IFERROR(ROUND(AS55/(AI55/1000),3),"")</f>
        <v/>
      </c>
    </row>
    <row r="56">
      <c r="AS56" s="6">
        <f>IF(E56="FE",ROUND(AJ56*0.15+AK56*0.23+AL56*0.15+AM56*0.15+AN56*0.1+AO56*0.1+AP56*0.07+AR56*0.05,3),IF(E56="PE",ROUND(AJ56*0.15+AK56*0.23+AL56*0.15+AM56*0.15+AN56*0.08+AO56*0.1+AQ56*0.09+AR56*0.05,3),""))</f>
        <v/>
      </c>
      <c r="AT56" s="6">
        <f>IFERROR(ROUND(AS56/(AH56+0.0001),3),"")</f>
        <v/>
      </c>
      <c r="AU56" s="6">
        <f>IFERROR(ROUND(AS56/(AI56/1000),3),"")</f>
        <v/>
      </c>
    </row>
    <row r="57">
      <c r="AS57" s="6">
        <f>IF(E57="FE",ROUND(AJ57*0.15+AK57*0.23+AL57*0.15+AM57*0.15+AN57*0.1+AO57*0.1+AP57*0.07+AR57*0.05,3),IF(E57="PE",ROUND(AJ57*0.15+AK57*0.23+AL57*0.15+AM57*0.15+AN57*0.08+AO57*0.1+AQ57*0.09+AR57*0.05,3),""))</f>
        <v/>
      </c>
      <c r="AT57" s="6">
        <f>IFERROR(ROUND(AS57/(AH57+0.0001),3),"")</f>
        <v/>
      </c>
      <c r="AU57" s="6">
        <f>IFERROR(ROUND(AS57/(AI57/1000),3),"")</f>
        <v/>
      </c>
    </row>
    <row r="58">
      <c r="AS58" s="6">
        <f>IF(E58="FE",ROUND(AJ58*0.15+AK58*0.23+AL58*0.15+AM58*0.15+AN58*0.1+AO58*0.1+AP58*0.07+AR58*0.05,3),IF(E58="PE",ROUND(AJ58*0.15+AK58*0.23+AL58*0.15+AM58*0.15+AN58*0.08+AO58*0.1+AQ58*0.09+AR58*0.05,3),""))</f>
        <v/>
      </c>
      <c r="AT58" s="6">
        <f>IFERROR(ROUND(AS58/(AH58+0.0001),3),"")</f>
        <v/>
      </c>
      <c r="AU58" s="6">
        <f>IFERROR(ROUND(AS58/(AI58/1000),3),"")</f>
        <v/>
      </c>
    </row>
    <row r="59">
      <c r="AS59" s="6">
        <f>IF(E59="FE",ROUND(AJ59*0.15+AK59*0.23+AL59*0.15+AM59*0.15+AN59*0.1+AO59*0.1+AP59*0.07+AR59*0.05,3),IF(E59="PE",ROUND(AJ59*0.15+AK59*0.23+AL59*0.15+AM59*0.15+AN59*0.08+AO59*0.1+AQ59*0.09+AR59*0.05,3),""))</f>
        <v/>
      </c>
      <c r="AT59" s="6">
        <f>IFERROR(ROUND(AS59/(AH59+0.0001),3),"")</f>
        <v/>
      </c>
      <c r="AU59" s="6">
        <f>IFERROR(ROUND(AS59/(AI59/1000),3),"")</f>
        <v/>
      </c>
    </row>
    <row r="60">
      <c r="AS60" s="6">
        <f>IF(E60="FE",ROUND(AJ60*0.15+AK60*0.23+AL60*0.15+AM60*0.15+AN60*0.1+AO60*0.1+AP60*0.07+AR60*0.05,3),IF(E60="PE",ROUND(AJ60*0.15+AK60*0.23+AL60*0.15+AM60*0.15+AN60*0.08+AO60*0.1+AQ60*0.09+AR60*0.05,3),""))</f>
        <v/>
      </c>
      <c r="AT60" s="6">
        <f>IFERROR(ROUND(AS60/(AH60+0.0001),3),"")</f>
        <v/>
      </c>
      <c r="AU60" s="6">
        <f>IFERROR(ROUND(AS60/(AI60/1000),3),"")</f>
        <v/>
      </c>
    </row>
    <row r="61">
      <c r="AS61" s="6">
        <f>IF(E61="FE",ROUND(AJ61*0.15+AK61*0.23+AL61*0.15+AM61*0.15+AN61*0.1+AO61*0.1+AP61*0.07+AR61*0.05,3),IF(E61="PE",ROUND(AJ61*0.15+AK61*0.23+AL61*0.15+AM61*0.15+AN61*0.08+AO61*0.1+AQ61*0.09+AR61*0.05,3),""))</f>
        <v/>
      </c>
      <c r="AT61" s="6">
        <f>IFERROR(ROUND(AS61/(AH61+0.0001),3),"")</f>
        <v/>
      </c>
      <c r="AU61" s="6">
        <f>IFERROR(ROUND(AS61/(AI61/1000),3),"")</f>
        <v/>
      </c>
    </row>
    <row r="62">
      <c r="AS62" s="6">
        <f>IF(E62="FE",ROUND(AJ62*0.15+AK62*0.23+AL62*0.15+AM62*0.15+AN62*0.1+AO62*0.1+AP62*0.07+AR62*0.05,3),IF(E62="PE",ROUND(AJ62*0.15+AK62*0.23+AL62*0.15+AM62*0.15+AN62*0.08+AO62*0.1+AQ62*0.09+AR62*0.05,3),""))</f>
        <v/>
      </c>
      <c r="AT62" s="6">
        <f>IFERROR(ROUND(AS62/(AH62+0.0001),3),"")</f>
        <v/>
      </c>
      <c r="AU62" s="6">
        <f>IFERROR(ROUND(AS62/(AI62/1000),3),"")</f>
        <v/>
      </c>
    </row>
    <row r="63">
      <c r="AS63" s="6">
        <f>IF(E63="FE",ROUND(AJ63*0.15+AK63*0.23+AL63*0.15+AM63*0.15+AN63*0.1+AO63*0.1+AP63*0.07+AR63*0.05,3),IF(E63="PE",ROUND(AJ63*0.15+AK63*0.23+AL63*0.15+AM63*0.15+AN63*0.08+AO63*0.1+AQ63*0.09+AR63*0.05,3),""))</f>
        <v/>
      </c>
      <c r="AT63" s="6">
        <f>IFERROR(ROUND(AS63/(AH63+0.0001),3),"")</f>
        <v/>
      </c>
      <c r="AU63" s="6">
        <f>IFERROR(ROUND(AS63/(AI63/1000),3),"")</f>
        <v/>
      </c>
    </row>
    <row r="64">
      <c r="AS64" s="6">
        <f>IF(E64="FE",ROUND(AJ64*0.15+AK64*0.23+AL64*0.15+AM64*0.15+AN64*0.1+AO64*0.1+AP64*0.07+AR64*0.05,3),IF(E64="PE",ROUND(AJ64*0.15+AK64*0.23+AL64*0.15+AM64*0.15+AN64*0.08+AO64*0.1+AQ64*0.09+AR64*0.05,3),""))</f>
        <v/>
      </c>
      <c r="AT64" s="6">
        <f>IFERROR(ROUND(AS64/(AH64+0.0001),3),"")</f>
        <v/>
      </c>
      <c r="AU64" s="6">
        <f>IFERROR(ROUND(AS64/(AI64/1000),3),"")</f>
        <v/>
      </c>
    </row>
    <row r="65">
      <c r="AS65" s="6">
        <f>IF(E65="FE",ROUND(AJ65*0.15+AK65*0.23+AL65*0.15+AM65*0.15+AN65*0.1+AO65*0.1+AP65*0.07+AR65*0.05,3),IF(E65="PE",ROUND(AJ65*0.15+AK65*0.23+AL65*0.15+AM65*0.15+AN65*0.08+AO65*0.1+AQ65*0.09+AR65*0.05,3),""))</f>
        <v/>
      </c>
      <c r="AT65" s="6">
        <f>IFERROR(ROUND(AS65/(AH65+0.0001),3),"")</f>
        <v/>
      </c>
      <c r="AU65" s="6">
        <f>IFERROR(ROUND(AS65/(AI65/1000),3),"")</f>
        <v/>
      </c>
    </row>
    <row r="66">
      <c r="AS66" s="6">
        <f>IF(E66="FE",ROUND(AJ66*0.15+AK66*0.23+AL66*0.15+AM66*0.15+AN66*0.1+AO66*0.1+AP66*0.07+AR66*0.05,3),IF(E66="PE",ROUND(AJ66*0.15+AK66*0.23+AL66*0.15+AM66*0.15+AN66*0.08+AO66*0.1+AQ66*0.09+AR66*0.05,3),""))</f>
        <v/>
      </c>
      <c r="AT66" s="6">
        <f>IFERROR(ROUND(AS66/(AH66+0.0001),3),"")</f>
        <v/>
      </c>
      <c r="AU66" s="6">
        <f>IFERROR(ROUND(AS66/(AI66/1000),3),"")</f>
        <v/>
      </c>
    </row>
    <row r="67">
      <c r="AS67" s="6">
        <f>IF(E67="FE",ROUND(AJ67*0.15+AK67*0.23+AL67*0.15+AM67*0.15+AN67*0.1+AO67*0.1+AP67*0.07+AR67*0.05,3),IF(E67="PE",ROUND(AJ67*0.15+AK67*0.23+AL67*0.15+AM67*0.15+AN67*0.08+AO67*0.1+AQ67*0.09+AR67*0.05,3),""))</f>
        <v/>
      </c>
      <c r="AT67" s="6">
        <f>IFERROR(ROUND(AS67/(AH67+0.0001),3),"")</f>
        <v/>
      </c>
      <c r="AU67" s="6">
        <f>IFERROR(ROUND(AS67/(AI67/1000),3),"")</f>
        <v/>
      </c>
    </row>
    <row r="68">
      <c r="AS68" s="6">
        <f>IF(E68="FE",ROUND(AJ68*0.15+AK68*0.23+AL68*0.15+AM68*0.15+AN68*0.1+AO68*0.1+AP68*0.07+AR68*0.05,3),IF(E68="PE",ROUND(AJ68*0.15+AK68*0.23+AL68*0.15+AM68*0.15+AN68*0.08+AO68*0.1+AQ68*0.09+AR68*0.05,3),""))</f>
        <v/>
      </c>
      <c r="AT68" s="6">
        <f>IFERROR(ROUND(AS68/(AH68+0.0001),3),"")</f>
        <v/>
      </c>
      <c r="AU68" s="6">
        <f>IFERROR(ROUND(AS68/(AI68/1000),3),"")</f>
        <v/>
      </c>
    </row>
    <row r="69">
      <c r="AS69" s="6">
        <f>IF(E69="FE",ROUND(AJ69*0.15+AK69*0.23+AL69*0.15+AM69*0.15+AN69*0.1+AO69*0.1+AP69*0.07+AR69*0.05,3),IF(E69="PE",ROUND(AJ69*0.15+AK69*0.23+AL69*0.15+AM69*0.15+AN69*0.08+AO69*0.1+AQ69*0.09+AR69*0.05,3),""))</f>
        <v/>
      </c>
      <c r="AT69" s="6">
        <f>IFERROR(ROUND(AS69/(AH69+0.0001),3),"")</f>
        <v/>
      </c>
      <c r="AU69" s="6">
        <f>IFERROR(ROUND(AS69/(AI69/1000),3),"")</f>
        <v/>
      </c>
    </row>
    <row r="70">
      <c r="AS70" s="6">
        <f>IF(E70="FE",ROUND(AJ70*0.15+AK70*0.23+AL70*0.15+AM70*0.15+AN70*0.1+AO70*0.1+AP70*0.07+AR70*0.05,3),IF(E70="PE",ROUND(AJ70*0.15+AK70*0.23+AL70*0.15+AM70*0.15+AN70*0.08+AO70*0.1+AQ70*0.09+AR70*0.05,3),""))</f>
        <v/>
      </c>
      <c r="AT70" s="6">
        <f>IFERROR(ROUND(AS70/(AH70+0.0001),3),"")</f>
        <v/>
      </c>
      <c r="AU70" s="6">
        <f>IFERROR(ROUND(AS70/(AI70/1000),3),"")</f>
        <v/>
      </c>
    </row>
    <row r="71">
      <c r="AS71" s="6">
        <f>IF(E71="FE",ROUND(AJ71*0.15+AK71*0.23+AL71*0.15+AM71*0.15+AN71*0.1+AO71*0.1+AP71*0.07+AR71*0.05,3),IF(E71="PE",ROUND(AJ71*0.15+AK71*0.23+AL71*0.15+AM71*0.15+AN71*0.08+AO71*0.1+AQ71*0.09+AR71*0.05,3),""))</f>
        <v/>
      </c>
      <c r="AT71" s="6">
        <f>IFERROR(ROUND(AS71/(AH71+0.0001),3),"")</f>
        <v/>
      </c>
      <c r="AU71" s="6">
        <f>IFERROR(ROUND(AS71/(AI71/1000),3),"")</f>
        <v/>
      </c>
    </row>
    <row r="72">
      <c r="AS72" s="6">
        <f>IF(E72="FE",ROUND(AJ72*0.15+AK72*0.23+AL72*0.15+AM72*0.15+AN72*0.1+AO72*0.1+AP72*0.07+AR72*0.05,3),IF(E72="PE",ROUND(AJ72*0.15+AK72*0.23+AL72*0.15+AM72*0.15+AN72*0.08+AO72*0.1+AQ72*0.09+AR72*0.05,3),""))</f>
        <v/>
      </c>
      <c r="AT72" s="6">
        <f>IFERROR(ROUND(AS72/(AH72+0.0001),3),"")</f>
        <v/>
      </c>
      <c r="AU72" s="6">
        <f>IFERROR(ROUND(AS72/(AI72/1000),3),"")</f>
        <v/>
      </c>
    </row>
    <row r="73">
      <c r="AS73" s="6">
        <f>IF(E73="FE",ROUND(AJ73*0.15+AK73*0.23+AL73*0.15+AM73*0.15+AN73*0.1+AO73*0.1+AP73*0.07+AR73*0.05,3),IF(E73="PE",ROUND(AJ73*0.15+AK73*0.23+AL73*0.15+AM73*0.15+AN73*0.08+AO73*0.1+AQ73*0.09+AR73*0.05,3),""))</f>
        <v/>
      </c>
      <c r="AT73" s="6">
        <f>IFERROR(ROUND(AS73/(AH73+0.0001),3),"")</f>
        <v/>
      </c>
      <c r="AU73" s="6">
        <f>IFERROR(ROUND(AS73/(AI73/1000),3),"")</f>
        <v/>
      </c>
    </row>
    <row r="74">
      <c r="AS74" s="6">
        <f>IF(E74="FE",ROUND(AJ74*0.15+AK74*0.23+AL74*0.15+AM74*0.15+AN74*0.1+AO74*0.1+AP74*0.07+AR74*0.05,3),IF(E74="PE",ROUND(AJ74*0.15+AK74*0.23+AL74*0.15+AM74*0.15+AN74*0.08+AO74*0.1+AQ74*0.09+AR74*0.05,3),""))</f>
        <v/>
      </c>
      <c r="AT74" s="6">
        <f>IFERROR(ROUND(AS74/(AH74+0.0001),3),"")</f>
        <v/>
      </c>
      <c r="AU74" s="6">
        <f>IFERROR(ROUND(AS74/(AI74/1000),3),"")</f>
        <v/>
      </c>
    </row>
    <row r="75">
      <c r="AS75" s="6">
        <f>IF(E75="FE",ROUND(AJ75*0.15+AK75*0.23+AL75*0.15+AM75*0.15+AN75*0.1+AO75*0.1+AP75*0.07+AR75*0.05,3),IF(E75="PE",ROUND(AJ75*0.15+AK75*0.23+AL75*0.15+AM75*0.15+AN75*0.08+AO75*0.1+AQ75*0.09+AR75*0.05,3),""))</f>
        <v/>
      </c>
      <c r="AT75" s="6">
        <f>IFERROR(ROUND(AS75/(AH75+0.0001),3),"")</f>
        <v/>
      </c>
      <c r="AU75" s="6">
        <f>IFERROR(ROUND(AS75/(AI75/1000),3),"")</f>
        <v/>
      </c>
    </row>
    <row r="76">
      <c r="AS76" s="6">
        <f>IF(E76="FE",ROUND(AJ76*0.15+AK76*0.23+AL76*0.15+AM76*0.15+AN76*0.1+AO76*0.1+AP76*0.07+AR76*0.05,3),IF(E76="PE",ROUND(AJ76*0.15+AK76*0.23+AL76*0.15+AM76*0.15+AN76*0.08+AO76*0.1+AQ76*0.09+AR76*0.05,3),""))</f>
        <v/>
      </c>
      <c r="AT76" s="6">
        <f>IFERROR(ROUND(AS76/(AH76+0.0001),3),"")</f>
        <v/>
      </c>
      <c r="AU76" s="6">
        <f>IFERROR(ROUND(AS76/(AI76/1000),3),"")</f>
        <v/>
      </c>
    </row>
    <row r="77">
      <c r="AS77" s="6">
        <f>IF(E77="FE",ROUND(AJ77*0.15+AK77*0.23+AL77*0.15+AM77*0.15+AN77*0.1+AO77*0.1+AP77*0.07+AR77*0.05,3),IF(E77="PE",ROUND(AJ77*0.15+AK77*0.23+AL77*0.15+AM77*0.15+AN77*0.08+AO77*0.1+AQ77*0.09+AR77*0.05,3),""))</f>
        <v/>
      </c>
      <c r="AT77" s="6">
        <f>IFERROR(ROUND(AS77/(AH77+0.0001),3),"")</f>
        <v/>
      </c>
      <c r="AU77" s="6">
        <f>IFERROR(ROUND(AS77/(AI77/1000),3),"")</f>
        <v/>
      </c>
    </row>
    <row r="78">
      <c r="AS78" s="6">
        <f>IF(E78="FE",ROUND(AJ78*0.15+AK78*0.23+AL78*0.15+AM78*0.15+AN78*0.1+AO78*0.1+AP78*0.07+AR78*0.05,3),IF(E78="PE",ROUND(AJ78*0.15+AK78*0.23+AL78*0.15+AM78*0.15+AN78*0.08+AO78*0.1+AQ78*0.09+AR78*0.05,3),""))</f>
        <v/>
      </c>
      <c r="AT78" s="6">
        <f>IFERROR(ROUND(AS78/(AH78+0.0001),3),"")</f>
        <v/>
      </c>
      <c r="AU78" s="6">
        <f>IFERROR(ROUND(AS78/(AI78/1000),3),"")</f>
        <v/>
      </c>
    </row>
    <row r="79">
      <c r="AS79" s="6">
        <f>IF(E79="FE",ROUND(AJ79*0.15+AK79*0.23+AL79*0.15+AM79*0.15+AN79*0.1+AO79*0.1+AP79*0.07+AR79*0.05,3),IF(E79="PE",ROUND(AJ79*0.15+AK79*0.23+AL79*0.15+AM79*0.15+AN79*0.08+AO79*0.1+AQ79*0.09+AR79*0.05,3),""))</f>
        <v/>
      </c>
      <c r="AT79" s="6">
        <f>IFERROR(ROUND(AS79/(AH79+0.0001),3),"")</f>
        <v/>
      </c>
      <c r="AU79" s="6">
        <f>IFERROR(ROUND(AS79/(AI79/1000),3),"")</f>
        <v/>
      </c>
    </row>
    <row r="80">
      <c r="AS80" s="6">
        <f>IF(E80="FE",ROUND(AJ80*0.15+AK80*0.23+AL80*0.15+AM80*0.15+AN80*0.1+AO80*0.1+AP80*0.07+AR80*0.05,3),IF(E80="PE",ROUND(AJ80*0.15+AK80*0.23+AL80*0.15+AM80*0.15+AN80*0.08+AO80*0.1+AQ80*0.09+AR80*0.05,3),""))</f>
        <v/>
      </c>
      <c r="AT80" s="6">
        <f>IFERROR(ROUND(AS80/(AH80+0.0001),3),"")</f>
        <v/>
      </c>
      <c r="AU80" s="6">
        <f>IFERROR(ROUND(AS80/(AI80/1000),3),"")</f>
        <v/>
      </c>
    </row>
    <row r="81">
      <c r="AS81" s="6">
        <f>IF(E81="FE",ROUND(AJ81*0.15+AK81*0.23+AL81*0.15+AM81*0.15+AN81*0.1+AO81*0.1+AP81*0.07+AR81*0.05,3),IF(E81="PE",ROUND(AJ81*0.15+AK81*0.23+AL81*0.15+AM81*0.15+AN81*0.08+AO81*0.1+AQ81*0.09+AR81*0.05,3),""))</f>
        <v/>
      </c>
      <c r="AT81" s="6">
        <f>IFERROR(ROUND(AS81/(AH81+0.0001),3),"")</f>
        <v/>
      </c>
      <c r="AU81" s="6">
        <f>IFERROR(ROUND(AS81/(AI81/1000),3),"")</f>
        <v/>
      </c>
    </row>
    <row r="82">
      <c r="AS82" s="6">
        <f>IF(E82="FE",ROUND(AJ82*0.15+AK82*0.23+AL82*0.15+AM82*0.15+AN82*0.1+AO82*0.1+AP82*0.07+AR82*0.05,3),IF(E82="PE",ROUND(AJ82*0.15+AK82*0.23+AL82*0.15+AM82*0.15+AN82*0.08+AO82*0.1+AQ82*0.09+AR82*0.05,3),""))</f>
        <v/>
      </c>
      <c r="AT82" s="6">
        <f>IFERROR(ROUND(AS82/(AH82+0.0001),3),"")</f>
        <v/>
      </c>
      <c r="AU82" s="6">
        <f>IFERROR(ROUND(AS82/(AI82/1000),3),"")</f>
        <v/>
      </c>
    </row>
    <row r="83">
      <c r="AS83" s="6">
        <f>IF(E83="FE",ROUND(AJ83*0.15+AK83*0.23+AL83*0.15+AM83*0.15+AN83*0.1+AO83*0.1+AP83*0.07+AR83*0.05,3),IF(E83="PE",ROUND(AJ83*0.15+AK83*0.23+AL83*0.15+AM83*0.15+AN83*0.08+AO83*0.1+AQ83*0.09+AR83*0.05,3),""))</f>
        <v/>
      </c>
      <c r="AT83" s="6">
        <f>IFERROR(ROUND(AS83/(AH83+0.0001),3),"")</f>
        <v/>
      </c>
      <c r="AU83" s="6">
        <f>IFERROR(ROUND(AS83/(AI83/1000),3),"")</f>
        <v/>
      </c>
    </row>
    <row r="84">
      <c r="AS84" s="6">
        <f>IF(E84="FE",ROUND(AJ84*0.15+AK84*0.23+AL84*0.15+AM84*0.15+AN84*0.1+AO84*0.1+AP84*0.07+AR84*0.05,3),IF(E84="PE",ROUND(AJ84*0.15+AK84*0.23+AL84*0.15+AM84*0.15+AN84*0.08+AO84*0.1+AQ84*0.09+AR84*0.05,3),""))</f>
        <v/>
      </c>
      <c r="AT84" s="6">
        <f>IFERROR(ROUND(AS84/(AH84+0.0001),3),"")</f>
        <v/>
      </c>
      <c r="AU84" s="6">
        <f>IFERROR(ROUND(AS84/(AI84/1000),3),"")</f>
        <v/>
      </c>
    </row>
    <row r="85">
      <c r="AS85" s="6">
        <f>IF(E85="FE",ROUND(AJ85*0.15+AK85*0.23+AL85*0.15+AM85*0.15+AN85*0.1+AO85*0.1+AP85*0.07+AR85*0.05,3),IF(E85="PE",ROUND(AJ85*0.15+AK85*0.23+AL85*0.15+AM85*0.15+AN85*0.08+AO85*0.1+AQ85*0.09+AR85*0.05,3),""))</f>
        <v/>
      </c>
      <c r="AT85" s="6">
        <f>IFERROR(ROUND(AS85/(AH85+0.0001),3),"")</f>
        <v/>
      </c>
      <c r="AU85" s="6">
        <f>IFERROR(ROUND(AS85/(AI85/1000),3),"")</f>
        <v/>
      </c>
    </row>
    <row r="86">
      <c r="AS86" s="6">
        <f>IF(E86="FE",ROUND(AJ86*0.15+AK86*0.23+AL86*0.15+AM86*0.15+AN86*0.1+AO86*0.1+AP86*0.07+AR86*0.05,3),IF(E86="PE",ROUND(AJ86*0.15+AK86*0.23+AL86*0.15+AM86*0.15+AN86*0.08+AO86*0.1+AQ86*0.09+AR86*0.05,3),""))</f>
        <v/>
      </c>
      <c r="AT86" s="6">
        <f>IFERROR(ROUND(AS86/(AH86+0.0001),3),"")</f>
        <v/>
      </c>
      <c r="AU86" s="6">
        <f>IFERROR(ROUND(AS86/(AI86/1000),3),"")</f>
        <v/>
      </c>
    </row>
    <row r="87">
      <c r="AS87" s="6">
        <f>IF(E87="FE",ROUND(AJ87*0.15+AK87*0.23+AL87*0.15+AM87*0.15+AN87*0.1+AO87*0.1+AP87*0.07+AR87*0.05,3),IF(E87="PE",ROUND(AJ87*0.15+AK87*0.23+AL87*0.15+AM87*0.15+AN87*0.08+AO87*0.1+AQ87*0.09+AR87*0.05,3),""))</f>
        <v/>
      </c>
      <c r="AT87" s="6">
        <f>IFERROR(ROUND(AS87/(AH87+0.0001),3),"")</f>
        <v/>
      </c>
      <c r="AU87" s="6">
        <f>IFERROR(ROUND(AS87/(AI87/1000),3),"")</f>
        <v/>
      </c>
    </row>
    <row r="88">
      <c r="AS88" s="6">
        <f>IF(E88="FE",ROUND(AJ88*0.15+AK88*0.23+AL88*0.15+AM88*0.15+AN88*0.1+AO88*0.1+AP88*0.07+AR88*0.05,3),IF(E88="PE",ROUND(AJ88*0.15+AK88*0.23+AL88*0.15+AM88*0.15+AN88*0.08+AO88*0.1+AQ88*0.09+AR88*0.05,3),""))</f>
        <v/>
      </c>
      <c r="AT88" s="6">
        <f>IFERROR(ROUND(AS88/(AH88+0.0001),3),"")</f>
        <v/>
      </c>
      <c r="AU88" s="6">
        <f>IFERROR(ROUND(AS88/(AI88/1000),3),"")</f>
        <v/>
      </c>
    </row>
    <row r="89">
      <c r="AS89" s="6">
        <f>IF(E89="FE",ROUND(AJ89*0.15+AK89*0.23+AL89*0.15+AM89*0.15+AN89*0.1+AO89*0.1+AP89*0.07+AR89*0.05,3),IF(E89="PE",ROUND(AJ89*0.15+AK89*0.23+AL89*0.15+AM89*0.15+AN89*0.08+AO89*0.1+AQ89*0.09+AR89*0.05,3),""))</f>
        <v/>
      </c>
      <c r="AT89" s="6">
        <f>IFERROR(ROUND(AS89/(AH89+0.0001),3),"")</f>
        <v/>
      </c>
      <c r="AU89" s="6">
        <f>IFERROR(ROUND(AS89/(AI89/1000),3),"")</f>
        <v/>
      </c>
    </row>
    <row r="90">
      <c r="AS90" s="6">
        <f>IF(E90="FE",ROUND(AJ90*0.15+AK90*0.23+AL90*0.15+AM90*0.15+AN90*0.1+AO90*0.1+AP90*0.07+AR90*0.05,3),IF(E90="PE",ROUND(AJ90*0.15+AK90*0.23+AL90*0.15+AM90*0.15+AN90*0.08+AO90*0.1+AQ90*0.09+AR90*0.05,3),""))</f>
        <v/>
      </c>
      <c r="AT90" s="6">
        <f>IFERROR(ROUND(AS90/(AH90+0.0001),3),"")</f>
        <v/>
      </c>
      <c r="AU90" s="6">
        <f>IFERROR(ROUND(AS90/(AI90/1000),3),"")</f>
        <v/>
      </c>
    </row>
    <row r="91">
      <c r="AS91" s="6">
        <f>IF(E91="FE",ROUND(AJ91*0.15+AK91*0.23+AL91*0.15+AM91*0.15+AN91*0.1+AO91*0.1+AP91*0.07+AR91*0.05,3),IF(E91="PE",ROUND(AJ91*0.15+AK91*0.23+AL91*0.15+AM91*0.15+AN91*0.08+AO91*0.1+AQ91*0.09+AR91*0.05,3),""))</f>
        <v/>
      </c>
      <c r="AT91" s="6">
        <f>IFERROR(ROUND(AS91/(AH91+0.0001),3),"")</f>
        <v/>
      </c>
      <c r="AU91" s="6">
        <f>IFERROR(ROUND(AS91/(AI91/1000),3),"")</f>
        <v/>
      </c>
    </row>
    <row r="92">
      <c r="AS92" s="6">
        <f>IF(E92="FE",ROUND(AJ92*0.15+AK92*0.23+AL92*0.15+AM92*0.15+AN92*0.1+AO92*0.1+AP92*0.07+AR92*0.05,3),IF(E92="PE",ROUND(AJ92*0.15+AK92*0.23+AL92*0.15+AM92*0.15+AN92*0.08+AO92*0.1+AQ92*0.09+AR92*0.05,3),""))</f>
        <v/>
      </c>
      <c r="AT92" s="6">
        <f>IFERROR(ROUND(AS92/(AH92+0.0001),3),"")</f>
        <v/>
      </c>
      <c r="AU92" s="6">
        <f>IFERROR(ROUND(AS92/(AI92/1000),3),"")</f>
        <v/>
      </c>
    </row>
    <row r="93">
      <c r="AS93" s="6">
        <f>IF(E93="FE",ROUND(AJ93*0.15+AK93*0.23+AL93*0.15+AM93*0.15+AN93*0.1+AO93*0.1+AP93*0.07+AR93*0.05,3),IF(E93="PE",ROUND(AJ93*0.15+AK93*0.23+AL93*0.15+AM93*0.15+AN93*0.08+AO93*0.1+AQ93*0.09+AR93*0.05,3),""))</f>
        <v/>
      </c>
      <c r="AT93" s="6">
        <f>IFERROR(ROUND(AS93/(AH93+0.0001),3),"")</f>
        <v/>
      </c>
      <c r="AU93" s="6">
        <f>IFERROR(ROUND(AS93/(AI93/1000),3),"")</f>
        <v/>
      </c>
    </row>
    <row r="94">
      <c r="AS94" s="6">
        <f>IF(E94="FE",ROUND(AJ94*0.15+AK94*0.23+AL94*0.15+AM94*0.15+AN94*0.1+AO94*0.1+AP94*0.07+AR94*0.05,3),IF(E94="PE",ROUND(AJ94*0.15+AK94*0.23+AL94*0.15+AM94*0.15+AN94*0.08+AO94*0.1+AQ94*0.09+AR94*0.05,3),""))</f>
        <v/>
      </c>
      <c r="AT94" s="6">
        <f>IFERROR(ROUND(AS94/(AH94+0.0001),3),"")</f>
        <v/>
      </c>
      <c r="AU94" s="6">
        <f>IFERROR(ROUND(AS94/(AI94/1000),3),"")</f>
        <v/>
      </c>
    </row>
    <row r="95">
      <c r="AS95" s="6">
        <f>IF(E95="FE",ROUND(AJ95*0.15+AK95*0.23+AL95*0.15+AM95*0.15+AN95*0.1+AO95*0.1+AP95*0.07+AR95*0.05,3),IF(E95="PE",ROUND(AJ95*0.15+AK95*0.23+AL95*0.15+AM95*0.15+AN95*0.08+AO95*0.1+AQ95*0.09+AR95*0.05,3),""))</f>
        <v/>
      </c>
      <c r="AT95" s="6">
        <f>IFERROR(ROUND(AS95/(AH95+0.0001),3),"")</f>
        <v/>
      </c>
      <c r="AU95" s="6">
        <f>IFERROR(ROUND(AS95/(AI95/1000),3),"")</f>
        <v/>
      </c>
    </row>
    <row r="96">
      <c r="AS96" s="6">
        <f>IF(E96="FE",ROUND(AJ96*0.15+AK96*0.23+AL96*0.15+AM96*0.15+AN96*0.1+AO96*0.1+AP96*0.07+AR96*0.05,3),IF(E96="PE",ROUND(AJ96*0.15+AK96*0.23+AL96*0.15+AM96*0.15+AN96*0.08+AO96*0.1+AQ96*0.09+AR96*0.05,3),""))</f>
        <v/>
      </c>
      <c r="AT96" s="6">
        <f>IFERROR(ROUND(AS96/(AH96+0.0001),3),"")</f>
        <v/>
      </c>
      <c r="AU96" s="6">
        <f>IFERROR(ROUND(AS96/(AI96/1000),3),"")</f>
        <v/>
      </c>
    </row>
    <row r="97">
      <c r="AS97" s="6">
        <f>IF(E97="FE",ROUND(AJ97*0.15+AK97*0.23+AL97*0.15+AM97*0.15+AN97*0.1+AO97*0.1+AP97*0.07+AR97*0.05,3),IF(E97="PE",ROUND(AJ97*0.15+AK97*0.23+AL97*0.15+AM97*0.15+AN97*0.08+AO97*0.1+AQ97*0.09+AR97*0.05,3),""))</f>
        <v/>
      </c>
      <c r="AT97" s="6">
        <f>IFERROR(ROUND(AS97/(AH97+0.0001),3),"")</f>
        <v/>
      </c>
      <c r="AU97" s="6">
        <f>IFERROR(ROUND(AS97/(AI97/1000),3),"")</f>
        <v/>
      </c>
    </row>
    <row r="98">
      <c r="AS98" s="6">
        <f>IF(E98="FE",ROUND(AJ98*0.15+AK98*0.23+AL98*0.15+AM98*0.15+AN98*0.1+AO98*0.1+AP98*0.07+AR98*0.05,3),IF(E98="PE",ROUND(AJ98*0.15+AK98*0.23+AL98*0.15+AM98*0.15+AN98*0.08+AO98*0.1+AQ98*0.09+AR98*0.05,3),""))</f>
        <v/>
      </c>
      <c r="AT98" s="6">
        <f>IFERROR(ROUND(AS98/(AH98+0.0001),3),"")</f>
        <v/>
      </c>
      <c r="AU98" s="6">
        <f>IFERROR(ROUND(AS98/(AI98/1000),3),"")</f>
        <v/>
      </c>
    </row>
    <row r="99">
      <c r="AS99" s="6">
        <f>IF(E99="FE",ROUND(AJ99*0.15+AK99*0.23+AL99*0.15+AM99*0.15+AN99*0.1+AO99*0.1+AP99*0.07+AR99*0.05,3),IF(E99="PE",ROUND(AJ99*0.15+AK99*0.23+AL99*0.15+AM99*0.15+AN99*0.08+AO99*0.1+AQ99*0.09+AR99*0.05,3),""))</f>
        <v/>
      </c>
      <c r="AT99" s="6">
        <f>IFERROR(ROUND(AS99/(AH99+0.0001),3),"")</f>
        <v/>
      </c>
      <c r="AU99" s="6">
        <f>IFERROR(ROUND(AS99/(AI99/1000),3),"")</f>
        <v/>
      </c>
    </row>
    <row r="100">
      <c r="AS100" s="6">
        <f>IF(E100="FE",ROUND(AJ100*0.15+AK100*0.23+AL100*0.15+AM100*0.15+AN100*0.1+AO100*0.1+AP100*0.07+AR100*0.05,3),IF(E100="PE",ROUND(AJ100*0.15+AK100*0.23+AL100*0.15+AM100*0.15+AN100*0.08+AO100*0.1+AQ100*0.09+AR100*0.05,3),""))</f>
        <v/>
      </c>
      <c r="AT100" s="6">
        <f>IFERROR(ROUND(AS100/(AH100+0.0001),3),"")</f>
        <v/>
      </c>
      <c r="AU100" s="6">
        <f>IFERROR(ROUND(AS100/(AI100/1000),3),"")</f>
        <v/>
      </c>
    </row>
    <row r="101">
      <c r="AS101" s="6">
        <f>IF(E101="FE",ROUND(AJ101*0.15+AK101*0.23+AL101*0.15+AM101*0.15+AN101*0.1+AO101*0.1+AP101*0.07+AR101*0.05,3),IF(E101="PE",ROUND(AJ101*0.15+AK101*0.23+AL101*0.15+AM101*0.15+AN101*0.08+AO101*0.1+AQ101*0.09+AR101*0.05,3),""))</f>
        <v/>
      </c>
      <c r="AT101" s="6">
        <f>IFERROR(ROUND(AS101/(AH101+0.0001),3),"")</f>
        <v/>
      </c>
      <c r="AU101" s="6">
        <f>IFERROR(ROUND(AS101/(AI101/1000),3),"")</f>
        <v/>
      </c>
    </row>
    <row r="102">
      <c r="AS102" s="6">
        <f>IF(E102="FE",ROUND(AJ102*0.15+AK102*0.23+AL102*0.15+AM102*0.15+AN102*0.1+AO102*0.1+AP102*0.07+AR102*0.05,3),IF(E102="PE",ROUND(AJ102*0.15+AK102*0.23+AL102*0.15+AM102*0.15+AN102*0.08+AO102*0.1+AQ102*0.09+AR102*0.05,3),""))</f>
        <v/>
      </c>
      <c r="AT102" s="6">
        <f>IFERROR(ROUND(AS102/(AH102+0.0001),3),"")</f>
        <v/>
      </c>
      <c r="AU102" s="6">
        <f>IFERROR(ROUND(AS102/(AI102/1000),3),"")</f>
        <v/>
      </c>
    </row>
    <row r="103">
      <c r="AS103" s="6">
        <f>IF(E103="FE",ROUND(AJ103*0.15+AK103*0.23+AL103*0.15+AM103*0.15+AN103*0.1+AO103*0.1+AP103*0.07+AR103*0.05,3),IF(E103="PE",ROUND(AJ103*0.15+AK103*0.23+AL103*0.15+AM103*0.15+AN103*0.08+AO103*0.1+AQ103*0.09+AR103*0.05,3),""))</f>
        <v/>
      </c>
      <c r="AT103" s="6">
        <f>IFERROR(ROUND(AS103/(AH103+0.0001),3),"")</f>
        <v/>
      </c>
      <c r="AU103" s="6">
        <f>IFERROR(ROUND(AS103/(AI103/1000),3),"")</f>
        <v/>
      </c>
    </row>
    <row r="104">
      <c r="AS104" s="6">
        <f>IF(E104="FE",ROUND(AJ104*0.15+AK104*0.23+AL104*0.15+AM104*0.15+AN104*0.1+AO104*0.1+AP104*0.07+AR104*0.05,3),IF(E104="PE",ROUND(AJ104*0.15+AK104*0.23+AL104*0.15+AM104*0.15+AN104*0.08+AO104*0.1+AQ104*0.09+AR104*0.05,3),""))</f>
        <v/>
      </c>
      <c r="AT104" s="6">
        <f>IFERROR(ROUND(AS104/(AH104+0.0001),3),"")</f>
        <v/>
      </c>
      <c r="AU104" s="6">
        <f>IFERROR(ROUND(AS104/(AI104/1000),3),"")</f>
        <v/>
      </c>
    </row>
    <row r="105">
      <c r="AS105" s="6">
        <f>IF(E105="FE",ROUND(AJ105*0.15+AK105*0.23+AL105*0.15+AM105*0.15+AN105*0.1+AO105*0.1+AP105*0.07+AR105*0.05,3),IF(E105="PE",ROUND(AJ105*0.15+AK105*0.23+AL105*0.15+AM105*0.15+AN105*0.08+AO105*0.1+AQ105*0.09+AR105*0.05,3),""))</f>
        <v/>
      </c>
      <c r="AT105" s="6">
        <f>IFERROR(ROUND(AS105/(AH105+0.0001),3),"")</f>
        <v/>
      </c>
      <c r="AU105" s="6">
        <f>IFERROR(ROUND(AS105/(AI105/1000),3),"")</f>
        <v/>
      </c>
    </row>
    <row r="106">
      <c r="AS106" s="6">
        <f>IF(E106="FE",ROUND(AJ106*0.15+AK106*0.23+AL106*0.15+AM106*0.15+AN106*0.1+AO106*0.1+AP106*0.07+AR106*0.05,3),IF(E106="PE",ROUND(AJ106*0.15+AK106*0.23+AL106*0.15+AM106*0.15+AN106*0.08+AO106*0.1+AQ106*0.09+AR106*0.05,3),""))</f>
        <v/>
      </c>
      <c r="AT106" s="6">
        <f>IFERROR(ROUND(AS106/(AH106+0.0001),3),"")</f>
        <v/>
      </c>
      <c r="AU106" s="6">
        <f>IFERROR(ROUND(AS106/(AI106/1000),3),"")</f>
        <v/>
      </c>
    </row>
    <row r="107">
      <c r="AS107" s="6">
        <f>IF(E107="FE",ROUND(AJ107*0.15+AK107*0.23+AL107*0.15+AM107*0.15+AN107*0.1+AO107*0.1+AP107*0.07+AR107*0.05,3),IF(E107="PE",ROUND(AJ107*0.15+AK107*0.23+AL107*0.15+AM107*0.15+AN107*0.08+AO107*0.1+AQ107*0.09+AR107*0.05,3),""))</f>
        <v/>
      </c>
      <c r="AT107" s="6">
        <f>IFERROR(ROUND(AS107/(AH107+0.0001),3),"")</f>
        <v/>
      </c>
      <c r="AU107" s="6">
        <f>IFERROR(ROUND(AS107/(AI107/1000),3),"")</f>
        <v/>
      </c>
    </row>
    <row r="108">
      <c r="AS108" s="6">
        <f>IF(E108="FE",ROUND(AJ108*0.15+AK108*0.23+AL108*0.15+AM108*0.15+AN108*0.1+AO108*0.1+AP108*0.07+AR108*0.05,3),IF(E108="PE",ROUND(AJ108*0.15+AK108*0.23+AL108*0.15+AM108*0.15+AN108*0.08+AO108*0.1+AQ108*0.09+AR108*0.05,3),""))</f>
        <v/>
      </c>
      <c r="AT108" s="6">
        <f>IFERROR(ROUND(AS108/(AH108+0.0001),3),"")</f>
        <v/>
      </c>
      <c r="AU108" s="6">
        <f>IFERROR(ROUND(AS108/(AI108/1000),3),"")</f>
        <v/>
      </c>
    </row>
    <row r="109">
      <c r="AS109" s="6">
        <f>IF(E109="FE",ROUND(AJ109*0.15+AK109*0.23+AL109*0.15+AM109*0.15+AN109*0.1+AO109*0.1+AP109*0.07+AR109*0.05,3),IF(E109="PE",ROUND(AJ109*0.15+AK109*0.23+AL109*0.15+AM109*0.15+AN109*0.08+AO109*0.1+AQ109*0.09+AR109*0.05,3),""))</f>
        <v/>
      </c>
      <c r="AT109" s="6">
        <f>IFERROR(ROUND(AS109/(AH109+0.0001),3),"")</f>
        <v/>
      </c>
      <c r="AU109" s="6">
        <f>IFERROR(ROUND(AS109/(AI109/1000),3),"")</f>
        <v/>
      </c>
    </row>
    <row r="110">
      <c r="AS110" s="6">
        <f>IF(E110="FE",ROUND(AJ110*0.15+AK110*0.23+AL110*0.15+AM110*0.15+AN110*0.1+AO110*0.1+AP110*0.07+AR110*0.05,3),IF(E110="PE",ROUND(AJ110*0.15+AK110*0.23+AL110*0.15+AM110*0.15+AN110*0.08+AO110*0.1+AQ110*0.09+AR110*0.05,3),""))</f>
        <v/>
      </c>
      <c r="AT110" s="6">
        <f>IFERROR(ROUND(AS110/(AH110+0.0001),3),"")</f>
        <v/>
      </c>
      <c r="AU110" s="6">
        <f>IFERROR(ROUND(AS110/(AI110/1000),3),"")</f>
        <v/>
      </c>
    </row>
    <row r="111">
      <c r="AS111" s="6">
        <f>IF(E111="FE",ROUND(AJ111*0.15+AK111*0.23+AL111*0.15+AM111*0.15+AN111*0.1+AO111*0.1+AP111*0.07+AR111*0.05,3),IF(E111="PE",ROUND(AJ111*0.15+AK111*0.23+AL111*0.15+AM111*0.15+AN111*0.08+AO111*0.1+AQ111*0.09+AR111*0.05,3),""))</f>
        <v/>
      </c>
      <c r="AT111" s="6">
        <f>IFERROR(ROUND(AS111/(AH111+0.0001),3),"")</f>
        <v/>
      </c>
      <c r="AU111" s="6">
        <f>IFERROR(ROUND(AS111/(AI111/1000),3),"")</f>
        <v/>
      </c>
    </row>
    <row r="112">
      <c r="AS112" s="6">
        <f>IF(E112="FE",ROUND(AJ112*0.15+AK112*0.23+AL112*0.15+AM112*0.15+AN112*0.1+AO112*0.1+AP112*0.07+AR112*0.05,3),IF(E112="PE",ROUND(AJ112*0.15+AK112*0.23+AL112*0.15+AM112*0.15+AN112*0.08+AO112*0.1+AQ112*0.09+AR112*0.05,3),""))</f>
        <v/>
      </c>
      <c r="AT112" s="6">
        <f>IFERROR(ROUND(AS112/(AH112+0.0001),3),"")</f>
        <v/>
      </c>
      <c r="AU112" s="6">
        <f>IFERROR(ROUND(AS112/(AI112/1000),3),"")</f>
        <v/>
      </c>
    </row>
    <row r="113">
      <c r="AS113" s="6">
        <f>IF(E113="FE",ROUND(AJ113*0.15+AK113*0.23+AL113*0.15+AM113*0.15+AN113*0.1+AO113*0.1+AP113*0.07+AR113*0.05,3),IF(E113="PE",ROUND(AJ113*0.15+AK113*0.23+AL113*0.15+AM113*0.15+AN113*0.08+AO113*0.1+AQ113*0.09+AR113*0.05,3),""))</f>
        <v/>
      </c>
      <c r="AT113" s="6">
        <f>IFERROR(ROUND(AS113/(AH113+0.0001),3),"")</f>
        <v/>
      </c>
      <c r="AU113" s="6">
        <f>IFERROR(ROUND(AS113/(AI113/1000),3),"")</f>
        <v/>
      </c>
    </row>
    <row r="114">
      <c r="AS114" s="6">
        <f>IF(E114="FE",ROUND(AJ114*0.15+AK114*0.23+AL114*0.15+AM114*0.15+AN114*0.1+AO114*0.1+AP114*0.07+AR114*0.05,3),IF(E114="PE",ROUND(AJ114*0.15+AK114*0.23+AL114*0.15+AM114*0.15+AN114*0.08+AO114*0.1+AQ114*0.09+AR114*0.05,3),""))</f>
        <v/>
      </c>
      <c r="AT114" s="6">
        <f>IFERROR(ROUND(AS114/(AH114+0.0001),3),"")</f>
        <v/>
      </c>
      <c r="AU114" s="6">
        <f>IFERROR(ROUND(AS114/(AI114/1000),3),"")</f>
        <v/>
      </c>
    </row>
    <row r="115">
      <c r="AS115" s="6">
        <f>IF(E115="FE",ROUND(AJ115*0.15+AK115*0.23+AL115*0.15+AM115*0.15+AN115*0.1+AO115*0.1+AP115*0.07+AR115*0.05,3),IF(E115="PE",ROUND(AJ115*0.15+AK115*0.23+AL115*0.15+AM115*0.15+AN115*0.08+AO115*0.1+AQ115*0.09+AR115*0.05,3),""))</f>
        <v/>
      </c>
      <c r="AT115" s="6">
        <f>IFERROR(ROUND(AS115/(AH115+0.0001),3),"")</f>
        <v/>
      </c>
      <c r="AU115" s="6">
        <f>IFERROR(ROUND(AS115/(AI115/1000),3),"")</f>
        <v/>
      </c>
    </row>
    <row r="116">
      <c r="AS116" s="6">
        <f>IF(E116="FE",ROUND(AJ116*0.15+AK116*0.23+AL116*0.15+AM116*0.15+AN116*0.1+AO116*0.1+AP116*0.07+AR116*0.05,3),IF(E116="PE",ROUND(AJ116*0.15+AK116*0.23+AL116*0.15+AM116*0.15+AN116*0.08+AO116*0.1+AQ116*0.09+AR116*0.05,3),""))</f>
        <v/>
      </c>
      <c r="AT116" s="6">
        <f>IFERROR(ROUND(AS116/(AH116+0.0001),3),"")</f>
        <v/>
      </c>
      <c r="AU116" s="6">
        <f>IFERROR(ROUND(AS116/(AI116/1000),3),"")</f>
        <v/>
      </c>
    </row>
    <row r="117">
      <c r="AS117" s="6">
        <f>IF(E117="FE",ROUND(AJ117*0.15+AK117*0.23+AL117*0.15+AM117*0.15+AN117*0.1+AO117*0.1+AP117*0.07+AR117*0.05,3),IF(E117="PE",ROUND(AJ117*0.15+AK117*0.23+AL117*0.15+AM117*0.15+AN117*0.08+AO117*0.1+AQ117*0.09+AR117*0.05,3),""))</f>
        <v/>
      </c>
      <c r="AT117" s="6">
        <f>IFERROR(ROUND(AS117/(AH117+0.0001),3),"")</f>
        <v/>
      </c>
      <c r="AU117" s="6">
        <f>IFERROR(ROUND(AS117/(AI117/1000),3),"")</f>
        <v/>
      </c>
    </row>
    <row r="118">
      <c r="AS118" s="6">
        <f>IF(E118="FE",ROUND(AJ118*0.15+AK118*0.23+AL118*0.15+AM118*0.15+AN118*0.1+AO118*0.1+AP118*0.07+AR118*0.05,3),IF(E118="PE",ROUND(AJ118*0.15+AK118*0.23+AL118*0.15+AM118*0.15+AN118*0.08+AO118*0.1+AQ118*0.09+AR118*0.05,3),""))</f>
        <v/>
      </c>
      <c r="AT118" s="6">
        <f>IFERROR(ROUND(AS118/(AH118+0.0001),3),"")</f>
        <v/>
      </c>
      <c r="AU118" s="6">
        <f>IFERROR(ROUND(AS118/(AI118/1000),3),"")</f>
        <v/>
      </c>
    </row>
    <row r="119">
      <c r="AS119" s="6">
        <f>IF(E119="FE",ROUND(AJ119*0.15+AK119*0.23+AL119*0.15+AM119*0.15+AN119*0.1+AO119*0.1+AP119*0.07+AR119*0.05,3),IF(E119="PE",ROUND(AJ119*0.15+AK119*0.23+AL119*0.15+AM119*0.15+AN119*0.08+AO119*0.1+AQ119*0.09+AR119*0.05,3),""))</f>
        <v/>
      </c>
      <c r="AT119" s="6">
        <f>IFERROR(ROUND(AS119/(AH119+0.0001),3),"")</f>
        <v/>
      </c>
      <c r="AU119" s="6">
        <f>IFERROR(ROUND(AS119/(AI119/1000),3),"")</f>
        <v/>
      </c>
    </row>
    <row r="120">
      <c r="AS120" s="6">
        <f>IF(E120="FE",ROUND(AJ120*0.15+AK120*0.23+AL120*0.15+AM120*0.15+AN120*0.1+AO120*0.1+AP120*0.07+AR120*0.05,3),IF(E120="PE",ROUND(AJ120*0.15+AK120*0.23+AL120*0.15+AM120*0.15+AN120*0.08+AO120*0.1+AQ120*0.09+AR120*0.05,3),""))</f>
        <v/>
      </c>
      <c r="AT120" s="6">
        <f>IFERROR(ROUND(AS120/(AH120+0.0001),3),"")</f>
        <v/>
      </c>
      <c r="AU120" s="6">
        <f>IFERROR(ROUND(AS120/(AI120/1000),3),"")</f>
        <v/>
      </c>
    </row>
    <row r="121">
      <c r="AS121" s="6">
        <f>IF(E121="FE",ROUND(AJ121*0.15+AK121*0.23+AL121*0.15+AM121*0.15+AN121*0.1+AO121*0.1+AP121*0.07+AR121*0.05,3),IF(E121="PE",ROUND(AJ121*0.15+AK121*0.23+AL121*0.15+AM121*0.15+AN121*0.08+AO121*0.1+AQ121*0.09+AR121*0.05,3),""))</f>
        <v/>
      </c>
      <c r="AT121" s="6">
        <f>IFERROR(ROUND(AS121/(AH121+0.0001),3),"")</f>
        <v/>
      </c>
      <c r="AU121" s="6">
        <f>IFERROR(ROUND(AS121/(AI121/1000),3),"")</f>
        <v/>
      </c>
    </row>
    <row r="122">
      <c r="AS122" s="6">
        <f>IF(E122="FE",ROUND(AJ122*0.15+AK122*0.23+AL122*0.15+AM122*0.15+AN122*0.1+AO122*0.1+AP122*0.07+AR122*0.05,3),IF(E122="PE",ROUND(AJ122*0.15+AK122*0.23+AL122*0.15+AM122*0.15+AN122*0.08+AO122*0.1+AQ122*0.09+AR122*0.05,3),""))</f>
        <v/>
      </c>
      <c r="AT122" s="6">
        <f>IFERROR(ROUND(AS122/(AH122+0.0001),3),"")</f>
        <v/>
      </c>
      <c r="AU122" s="6">
        <f>IFERROR(ROUND(AS122/(AI122/1000),3),"")</f>
        <v/>
      </c>
    </row>
    <row r="123">
      <c r="AS123" s="6">
        <f>IF(E123="FE",ROUND(AJ123*0.15+AK123*0.23+AL123*0.15+AM123*0.15+AN123*0.1+AO123*0.1+AP123*0.07+AR123*0.05,3),IF(E123="PE",ROUND(AJ123*0.15+AK123*0.23+AL123*0.15+AM123*0.15+AN123*0.08+AO123*0.1+AQ123*0.09+AR123*0.05,3),""))</f>
        <v/>
      </c>
      <c r="AT123" s="6">
        <f>IFERROR(ROUND(AS123/(AH123+0.0001),3),"")</f>
        <v/>
      </c>
      <c r="AU123" s="6">
        <f>IFERROR(ROUND(AS123/(AI123/1000),3),"")</f>
        <v/>
      </c>
    </row>
    <row r="124">
      <c r="AS124" s="6">
        <f>IF(E124="FE",ROUND(AJ124*0.15+AK124*0.23+AL124*0.15+AM124*0.15+AN124*0.1+AO124*0.1+AP124*0.07+AR124*0.05,3),IF(E124="PE",ROUND(AJ124*0.15+AK124*0.23+AL124*0.15+AM124*0.15+AN124*0.08+AO124*0.1+AQ124*0.09+AR124*0.05,3),""))</f>
        <v/>
      </c>
      <c r="AT124" s="6">
        <f>IFERROR(ROUND(AS124/(AH124+0.0001),3),"")</f>
        <v/>
      </c>
      <c r="AU124" s="6">
        <f>IFERROR(ROUND(AS124/(AI124/1000),3),"")</f>
        <v/>
      </c>
    </row>
    <row r="125">
      <c r="AS125" s="6">
        <f>IF(E125="FE",ROUND(AJ125*0.15+AK125*0.23+AL125*0.15+AM125*0.15+AN125*0.1+AO125*0.1+AP125*0.07+AR125*0.05,3),IF(E125="PE",ROUND(AJ125*0.15+AK125*0.23+AL125*0.15+AM125*0.15+AN125*0.08+AO125*0.1+AQ125*0.09+AR125*0.05,3),""))</f>
        <v/>
      </c>
      <c r="AT125" s="6">
        <f>IFERROR(ROUND(AS125/(AH125+0.0001),3),"")</f>
        <v/>
      </c>
      <c r="AU125" s="6">
        <f>IFERROR(ROUND(AS125/(AI125/1000),3),"")</f>
        <v/>
      </c>
    </row>
    <row r="126">
      <c r="AS126" s="6">
        <f>IF(E126="FE",ROUND(AJ126*0.15+AK126*0.23+AL126*0.15+AM126*0.15+AN126*0.1+AO126*0.1+AP126*0.07+AR126*0.05,3),IF(E126="PE",ROUND(AJ126*0.15+AK126*0.23+AL126*0.15+AM126*0.15+AN126*0.08+AO126*0.1+AQ126*0.09+AR126*0.05,3),""))</f>
        <v/>
      </c>
      <c r="AT126" s="6">
        <f>IFERROR(ROUND(AS126/(AH126+0.0001),3),"")</f>
        <v/>
      </c>
      <c r="AU126" s="6">
        <f>IFERROR(ROUND(AS126/(AI126/1000),3),"")</f>
        <v/>
      </c>
    </row>
    <row r="127">
      <c r="AS127" s="6">
        <f>IF(E127="FE",ROUND(AJ127*0.15+AK127*0.23+AL127*0.15+AM127*0.15+AN127*0.1+AO127*0.1+AP127*0.07+AR127*0.05,3),IF(E127="PE",ROUND(AJ127*0.15+AK127*0.23+AL127*0.15+AM127*0.15+AN127*0.08+AO127*0.1+AQ127*0.09+AR127*0.05,3),""))</f>
        <v/>
      </c>
      <c r="AT127" s="6">
        <f>IFERROR(ROUND(AS127/(AH127+0.0001),3),"")</f>
        <v/>
      </c>
      <c r="AU127" s="6">
        <f>IFERROR(ROUND(AS127/(AI127/1000),3),"")</f>
        <v/>
      </c>
    </row>
    <row r="128">
      <c r="AS128" s="6">
        <f>IF(E128="FE",ROUND(AJ128*0.15+AK128*0.23+AL128*0.15+AM128*0.15+AN128*0.1+AO128*0.1+AP128*0.07+AR128*0.05,3),IF(E128="PE",ROUND(AJ128*0.15+AK128*0.23+AL128*0.15+AM128*0.15+AN128*0.08+AO128*0.1+AQ128*0.09+AR128*0.05,3),""))</f>
        <v/>
      </c>
      <c r="AT128" s="6">
        <f>IFERROR(ROUND(AS128/(AH128+0.0001),3),"")</f>
        <v/>
      </c>
      <c r="AU128" s="6">
        <f>IFERROR(ROUND(AS128/(AI128/1000),3),"")</f>
        <v/>
      </c>
    </row>
    <row r="129">
      <c r="AS129" s="6">
        <f>IF(E129="FE",ROUND(AJ129*0.15+AK129*0.23+AL129*0.15+AM129*0.15+AN129*0.1+AO129*0.1+AP129*0.07+AR129*0.05,3),IF(E129="PE",ROUND(AJ129*0.15+AK129*0.23+AL129*0.15+AM129*0.15+AN129*0.08+AO129*0.1+AQ129*0.09+AR129*0.05,3),""))</f>
        <v/>
      </c>
      <c r="AT129" s="6">
        <f>IFERROR(ROUND(AS129/(AH129+0.0001),3),"")</f>
        <v/>
      </c>
      <c r="AU129" s="6">
        <f>IFERROR(ROUND(AS129/(AI129/1000),3),"")</f>
        <v/>
      </c>
    </row>
    <row r="130">
      <c r="AS130" s="6">
        <f>IF(E130="FE",ROUND(AJ130*0.15+AK130*0.23+AL130*0.15+AM130*0.15+AN130*0.1+AO130*0.1+AP130*0.07+AR130*0.05,3),IF(E130="PE",ROUND(AJ130*0.15+AK130*0.23+AL130*0.15+AM130*0.15+AN130*0.08+AO130*0.1+AQ130*0.09+AR130*0.05,3),""))</f>
        <v/>
      </c>
      <c r="AT130" s="6">
        <f>IFERROR(ROUND(AS130/(AH130+0.0001),3),"")</f>
        <v/>
      </c>
      <c r="AU130" s="6">
        <f>IFERROR(ROUND(AS130/(AI130/1000),3),"")</f>
        <v/>
      </c>
    </row>
    <row r="131">
      <c r="AS131" s="6">
        <f>IF(E131="FE",ROUND(AJ131*0.15+AK131*0.23+AL131*0.15+AM131*0.15+AN131*0.1+AO131*0.1+AP131*0.07+AR131*0.05,3),IF(E131="PE",ROUND(AJ131*0.15+AK131*0.23+AL131*0.15+AM131*0.15+AN131*0.08+AO131*0.1+AQ131*0.09+AR131*0.05,3),""))</f>
        <v/>
      </c>
      <c r="AT131" s="6">
        <f>IFERROR(ROUND(AS131/(AH131+0.0001),3),"")</f>
        <v/>
      </c>
      <c r="AU131" s="6">
        <f>IFERROR(ROUND(AS131/(AI131/1000),3),"")</f>
        <v/>
      </c>
    </row>
    <row r="132">
      <c r="AS132" s="6">
        <f>IF(E132="FE",ROUND(AJ132*0.15+AK132*0.23+AL132*0.15+AM132*0.15+AN132*0.1+AO132*0.1+AP132*0.07+AR132*0.05,3),IF(E132="PE",ROUND(AJ132*0.15+AK132*0.23+AL132*0.15+AM132*0.15+AN132*0.08+AO132*0.1+AQ132*0.09+AR132*0.05,3),""))</f>
        <v/>
      </c>
      <c r="AT132" s="6">
        <f>IFERROR(ROUND(AS132/(AH132+0.0001),3),"")</f>
        <v/>
      </c>
      <c r="AU132" s="6">
        <f>IFERROR(ROUND(AS132/(AI132/1000),3),"")</f>
        <v/>
      </c>
    </row>
    <row r="133">
      <c r="AS133" s="6">
        <f>IF(E133="FE",ROUND(AJ133*0.15+AK133*0.23+AL133*0.15+AM133*0.15+AN133*0.1+AO133*0.1+AP133*0.07+AR133*0.05,3),IF(E133="PE",ROUND(AJ133*0.15+AK133*0.23+AL133*0.15+AM133*0.15+AN133*0.08+AO133*0.1+AQ133*0.09+AR133*0.05,3),""))</f>
        <v/>
      </c>
      <c r="AT133" s="6">
        <f>IFERROR(ROUND(AS133/(AH133+0.0001),3),"")</f>
        <v/>
      </c>
      <c r="AU133" s="6">
        <f>IFERROR(ROUND(AS133/(AI133/1000),3),"")</f>
        <v/>
      </c>
    </row>
    <row r="134">
      <c r="AS134" s="6">
        <f>IF(E134="FE",ROUND(AJ134*0.15+AK134*0.23+AL134*0.15+AM134*0.15+AN134*0.1+AO134*0.1+AP134*0.07+AR134*0.05,3),IF(E134="PE",ROUND(AJ134*0.15+AK134*0.23+AL134*0.15+AM134*0.15+AN134*0.08+AO134*0.1+AQ134*0.09+AR134*0.05,3),""))</f>
        <v/>
      </c>
      <c r="AT134" s="6">
        <f>IFERROR(ROUND(AS134/(AH134+0.0001),3),"")</f>
        <v/>
      </c>
      <c r="AU134" s="6">
        <f>IFERROR(ROUND(AS134/(AI134/1000),3),"")</f>
        <v/>
      </c>
    </row>
    <row r="135">
      <c r="AS135" s="6">
        <f>IF(E135="FE",ROUND(AJ135*0.15+AK135*0.23+AL135*0.15+AM135*0.15+AN135*0.1+AO135*0.1+AP135*0.07+AR135*0.05,3),IF(E135="PE",ROUND(AJ135*0.15+AK135*0.23+AL135*0.15+AM135*0.15+AN135*0.08+AO135*0.1+AQ135*0.09+AR135*0.05,3),""))</f>
        <v/>
      </c>
      <c r="AT135" s="6">
        <f>IFERROR(ROUND(AS135/(AH135+0.0001),3),"")</f>
        <v/>
      </c>
      <c r="AU135" s="6">
        <f>IFERROR(ROUND(AS135/(AI135/1000),3),"")</f>
        <v/>
      </c>
    </row>
    <row r="136">
      <c r="AS136" s="6">
        <f>IF(E136="FE",ROUND(AJ136*0.15+AK136*0.23+AL136*0.15+AM136*0.15+AN136*0.1+AO136*0.1+AP136*0.07+AR136*0.05,3),IF(E136="PE",ROUND(AJ136*0.15+AK136*0.23+AL136*0.15+AM136*0.15+AN136*0.08+AO136*0.1+AQ136*0.09+AR136*0.05,3),""))</f>
        <v/>
      </c>
      <c r="AT136" s="6">
        <f>IFERROR(ROUND(AS136/(AH136+0.0001),3),"")</f>
        <v/>
      </c>
      <c r="AU136" s="6">
        <f>IFERROR(ROUND(AS136/(AI136/1000),3),"")</f>
        <v/>
      </c>
    </row>
    <row r="137">
      <c r="AS137" s="6">
        <f>IF(E137="FE",ROUND(AJ137*0.15+AK137*0.23+AL137*0.15+AM137*0.15+AN137*0.1+AO137*0.1+AP137*0.07+AR137*0.05,3),IF(E137="PE",ROUND(AJ137*0.15+AK137*0.23+AL137*0.15+AM137*0.15+AN137*0.08+AO137*0.1+AQ137*0.09+AR137*0.05,3),""))</f>
        <v/>
      </c>
      <c r="AT137" s="6">
        <f>IFERROR(ROUND(AS137/(AH137+0.0001),3),"")</f>
        <v/>
      </c>
      <c r="AU137" s="6">
        <f>IFERROR(ROUND(AS137/(AI137/1000),3),"")</f>
        <v/>
      </c>
    </row>
    <row r="138">
      <c r="AS138" s="6">
        <f>IF(E138="FE",ROUND(AJ138*0.15+AK138*0.23+AL138*0.15+AM138*0.15+AN138*0.1+AO138*0.1+AP138*0.07+AR138*0.05,3),IF(E138="PE",ROUND(AJ138*0.15+AK138*0.23+AL138*0.15+AM138*0.15+AN138*0.08+AO138*0.1+AQ138*0.09+AR138*0.05,3),""))</f>
        <v/>
      </c>
      <c r="AT138" s="6">
        <f>IFERROR(ROUND(AS138/(AH138+0.0001),3),"")</f>
        <v/>
      </c>
      <c r="AU138" s="6">
        <f>IFERROR(ROUND(AS138/(AI138/1000),3),"")</f>
        <v/>
      </c>
    </row>
    <row r="139">
      <c r="AS139" s="6">
        <f>IF(E139="FE",ROUND(AJ139*0.15+AK139*0.23+AL139*0.15+AM139*0.15+AN139*0.1+AO139*0.1+AP139*0.07+AR139*0.05,3),IF(E139="PE",ROUND(AJ139*0.15+AK139*0.23+AL139*0.15+AM139*0.15+AN139*0.08+AO139*0.1+AQ139*0.09+AR139*0.05,3),""))</f>
        <v/>
      </c>
      <c r="AT139" s="6">
        <f>IFERROR(ROUND(AS139/(AH139+0.0001),3),"")</f>
        <v/>
      </c>
      <c r="AU139" s="6">
        <f>IFERROR(ROUND(AS139/(AI139/1000),3),"")</f>
        <v/>
      </c>
    </row>
    <row r="140">
      <c r="AS140" s="6">
        <f>IF(E140="FE",ROUND(AJ140*0.15+AK140*0.23+AL140*0.15+AM140*0.15+AN140*0.1+AO140*0.1+AP140*0.07+AR140*0.05,3),IF(E140="PE",ROUND(AJ140*0.15+AK140*0.23+AL140*0.15+AM140*0.15+AN140*0.08+AO140*0.1+AQ140*0.09+AR140*0.05,3),""))</f>
        <v/>
      </c>
      <c r="AT140" s="6">
        <f>IFERROR(ROUND(AS140/(AH140+0.0001),3),"")</f>
        <v/>
      </c>
      <c r="AU140" s="6">
        <f>IFERROR(ROUND(AS140/(AI140/1000),3),"")</f>
        <v/>
      </c>
    </row>
    <row r="141">
      <c r="AS141" s="6">
        <f>IF(E141="FE",ROUND(AJ141*0.15+AK141*0.23+AL141*0.15+AM141*0.15+AN141*0.1+AO141*0.1+AP141*0.07+AR141*0.05,3),IF(E141="PE",ROUND(AJ141*0.15+AK141*0.23+AL141*0.15+AM141*0.15+AN141*0.08+AO141*0.1+AQ141*0.09+AR141*0.05,3),""))</f>
        <v/>
      </c>
      <c r="AT141" s="6">
        <f>IFERROR(ROUND(AS141/(AH141+0.0001),3),"")</f>
        <v/>
      </c>
      <c r="AU141" s="6">
        <f>IFERROR(ROUND(AS141/(AI141/1000),3),"")</f>
        <v/>
      </c>
    </row>
    <row r="142">
      <c r="AS142" s="6">
        <f>IF(E142="FE",ROUND(AJ142*0.15+AK142*0.23+AL142*0.15+AM142*0.15+AN142*0.1+AO142*0.1+AP142*0.07+AR142*0.05,3),IF(E142="PE",ROUND(AJ142*0.15+AK142*0.23+AL142*0.15+AM142*0.15+AN142*0.08+AO142*0.1+AQ142*0.09+AR142*0.05,3),""))</f>
        <v/>
      </c>
      <c r="AT142" s="6">
        <f>IFERROR(ROUND(AS142/(AH142+0.0001),3),"")</f>
        <v/>
      </c>
      <c r="AU142" s="6">
        <f>IFERROR(ROUND(AS142/(AI142/1000),3),"")</f>
        <v/>
      </c>
    </row>
    <row r="143">
      <c r="AS143" s="6">
        <f>IF(E143="FE",ROUND(AJ143*0.15+AK143*0.23+AL143*0.15+AM143*0.15+AN143*0.1+AO143*0.1+AP143*0.07+AR143*0.05,3),IF(E143="PE",ROUND(AJ143*0.15+AK143*0.23+AL143*0.15+AM143*0.15+AN143*0.08+AO143*0.1+AQ143*0.09+AR143*0.05,3),""))</f>
        <v/>
      </c>
      <c r="AT143" s="6">
        <f>IFERROR(ROUND(AS143/(AH143+0.0001),3),"")</f>
        <v/>
      </c>
      <c r="AU143" s="6">
        <f>IFERROR(ROUND(AS143/(AI143/1000),3),"")</f>
        <v/>
      </c>
    </row>
    <row r="144">
      <c r="AS144" s="6">
        <f>IF(E144="FE",ROUND(AJ144*0.15+AK144*0.23+AL144*0.15+AM144*0.15+AN144*0.1+AO144*0.1+AP144*0.07+AR144*0.05,3),IF(E144="PE",ROUND(AJ144*0.15+AK144*0.23+AL144*0.15+AM144*0.15+AN144*0.08+AO144*0.1+AQ144*0.09+AR144*0.05,3),""))</f>
        <v/>
      </c>
      <c r="AT144" s="6">
        <f>IFERROR(ROUND(AS144/(AH144+0.0001),3),"")</f>
        <v/>
      </c>
      <c r="AU144" s="6">
        <f>IFERROR(ROUND(AS144/(AI144/1000),3),"")</f>
        <v/>
      </c>
    </row>
    <row r="145">
      <c r="AS145" s="6">
        <f>IF(E145="FE",ROUND(AJ145*0.15+AK145*0.23+AL145*0.15+AM145*0.15+AN145*0.1+AO145*0.1+AP145*0.07+AR145*0.05,3),IF(E145="PE",ROUND(AJ145*0.15+AK145*0.23+AL145*0.15+AM145*0.15+AN145*0.08+AO145*0.1+AQ145*0.09+AR145*0.05,3),""))</f>
        <v/>
      </c>
      <c r="AT145" s="6">
        <f>IFERROR(ROUND(AS145/(AH145+0.0001),3),"")</f>
        <v/>
      </c>
      <c r="AU145" s="6">
        <f>IFERROR(ROUND(AS145/(AI145/1000),3),"")</f>
        <v/>
      </c>
    </row>
    <row r="146">
      <c r="AS146" s="6">
        <f>IF(E146="FE",ROUND(AJ146*0.15+AK146*0.23+AL146*0.15+AM146*0.15+AN146*0.1+AO146*0.1+AP146*0.07+AR146*0.05,3),IF(E146="PE",ROUND(AJ146*0.15+AK146*0.23+AL146*0.15+AM146*0.15+AN146*0.08+AO146*0.1+AQ146*0.09+AR146*0.05,3),""))</f>
        <v/>
      </c>
      <c r="AT146" s="6">
        <f>IFERROR(ROUND(AS146/(AH146+0.0001),3),"")</f>
        <v/>
      </c>
      <c r="AU146" s="6">
        <f>IFERROR(ROUND(AS146/(AI146/1000),3),"")</f>
        <v/>
      </c>
    </row>
    <row r="147">
      <c r="AS147" s="6">
        <f>IF(E147="FE",ROUND(AJ147*0.15+AK147*0.23+AL147*0.15+AM147*0.15+AN147*0.1+AO147*0.1+AP147*0.07+AR147*0.05,3),IF(E147="PE",ROUND(AJ147*0.15+AK147*0.23+AL147*0.15+AM147*0.15+AN147*0.08+AO147*0.1+AQ147*0.09+AR147*0.05,3),""))</f>
        <v/>
      </c>
      <c r="AT147" s="6">
        <f>IFERROR(ROUND(AS147/(AH147+0.0001),3),"")</f>
        <v/>
      </c>
      <c r="AU147" s="6">
        <f>IFERROR(ROUND(AS147/(AI147/1000),3),"")</f>
        <v/>
      </c>
    </row>
    <row r="148">
      <c r="AS148" s="6">
        <f>IF(E148="FE",ROUND(AJ148*0.15+AK148*0.23+AL148*0.15+AM148*0.15+AN148*0.1+AO148*0.1+AP148*0.07+AR148*0.05,3),IF(E148="PE",ROUND(AJ148*0.15+AK148*0.23+AL148*0.15+AM148*0.15+AN148*0.08+AO148*0.1+AQ148*0.09+AR148*0.05,3),""))</f>
        <v/>
      </c>
      <c r="AT148" s="6">
        <f>IFERROR(ROUND(AS148/(AH148+0.0001),3),"")</f>
        <v/>
      </c>
      <c r="AU148" s="6">
        <f>IFERROR(ROUND(AS148/(AI148/1000),3),"")</f>
        <v/>
      </c>
    </row>
    <row r="149">
      <c r="AS149" s="6">
        <f>IF(E149="FE",ROUND(AJ149*0.15+AK149*0.23+AL149*0.15+AM149*0.15+AN149*0.1+AO149*0.1+AP149*0.07+AR149*0.05,3),IF(E149="PE",ROUND(AJ149*0.15+AK149*0.23+AL149*0.15+AM149*0.15+AN149*0.08+AO149*0.1+AQ149*0.09+AR149*0.05,3),""))</f>
        <v/>
      </c>
      <c r="AT149" s="6">
        <f>IFERROR(ROUND(AS149/(AH149+0.0001),3),"")</f>
        <v/>
      </c>
      <c r="AU149" s="6">
        <f>IFERROR(ROUND(AS149/(AI149/1000),3),"")</f>
        <v/>
      </c>
    </row>
    <row r="150">
      <c r="AS150" s="6">
        <f>IF(E150="FE",ROUND(AJ150*0.15+AK150*0.23+AL150*0.15+AM150*0.15+AN150*0.1+AO150*0.1+AP150*0.07+AR150*0.05,3),IF(E150="PE",ROUND(AJ150*0.15+AK150*0.23+AL150*0.15+AM150*0.15+AN150*0.08+AO150*0.1+AQ150*0.09+AR150*0.05,3),""))</f>
        <v/>
      </c>
      <c r="AT150" s="6">
        <f>IFERROR(ROUND(AS150/(AH150+0.0001),3),"")</f>
        <v/>
      </c>
      <c r="AU150" s="6">
        <f>IFERROR(ROUND(AS150/(AI150/1000),3),"")</f>
        <v/>
      </c>
    </row>
    <row r="151">
      <c r="AS151" s="6">
        <f>IF(E151="FE",ROUND(AJ151*0.15+AK151*0.23+AL151*0.15+AM151*0.15+AN151*0.1+AO151*0.1+AP151*0.07+AR151*0.05,3),IF(E151="PE",ROUND(AJ151*0.15+AK151*0.23+AL151*0.15+AM151*0.15+AN151*0.08+AO151*0.1+AQ151*0.09+AR151*0.05,3),""))</f>
        <v/>
      </c>
      <c r="AT151" s="6">
        <f>IFERROR(ROUND(AS151/(AH151+0.0001),3),"")</f>
        <v/>
      </c>
      <c r="AU151" s="6">
        <f>IFERROR(ROUND(AS151/(AI151/1000),3),"")</f>
        <v/>
      </c>
    </row>
    <row r="152">
      <c r="AS152" s="6">
        <f>IF(E152="FE",ROUND(AJ152*0.15+AK152*0.23+AL152*0.15+AM152*0.15+AN152*0.1+AO152*0.1+AP152*0.07+AR152*0.05,3),IF(E152="PE",ROUND(AJ152*0.15+AK152*0.23+AL152*0.15+AM152*0.15+AN152*0.08+AO152*0.1+AQ152*0.09+AR152*0.05,3),""))</f>
        <v/>
      </c>
      <c r="AT152" s="6">
        <f>IFERROR(ROUND(AS152/(AH152+0.0001),3),"")</f>
        <v/>
      </c>
      <c r="AU152" s="6">
        <f>IFERROR(ROUND(AS152/(AI152/1000),3),"")</f>
        <v/>
      </c>
    </row>
    <row r="153">
      <c r="AS153" s="6">
        <f>IF(E153="FE",ROUND(AJ153*0.15+AK153*0.23+AL153*0.15+AM153*0.15+AN153*0.1+AO153*0.1+AP153*0.07+AR153*0.05,3),IF(E153="PE",ROUND(AJ153*0.15+AK153*0.23+AL153*0.15+AM153*0.15+AN153*0.08+AO153*0.1+AQ153*0.09+AR153*0.05,3),""))</f>
        <v/>
      </c>
      <c r="AT153" s="6">
        <f>IFERROR(ROUND(AS153/(AH153+0.0001),3),"")</f>
        <v/>
      </c>
      <c r="AU153" s="6">
        <f>IFERROR(ROUND(AS153/(AI153/1000),3),"")</f>
        <v/>
      </c>
    </row>
    <row r="154">
      <c r="AS154" s="6">
        <f>IF(E154="FE",ROUND(AJ154*0.15+AK154*0.23+AL154*0.15+AM154*0.15+AN154*0.1+AO154*0.1+AP154*0.07+AR154*0.05,3),IF(E154="PE",ROUND(AJ154*0.15+AK154*0.23+AL154*0.15+AM154*0.15+AN154*0.08+AO154*0.1+AQ154*0.09+AR154*0.05,3),""))</f>
        <v/>
      </c>
      <c r="AT154" s="6">
        <f>IFERROR(ROUND(AS154/(AH154+0.0001),3),"")</f>
        <v/>
      </c>
      <c r="AU154" s="6">
        <f>IFERROR(ROUND(AS154/(AI154/1000),3),"")</f>
        <v/>
      </c>
    </row>
    <row r="155">
      <c r="AS155" s="6">
        <f>IF(E155="FE",ROUND(AJ155*0.15+AK155*0.23+AL155*0.15+AM155*0.15+AN155*0.1+AO155*0.1+AP155*0.07+AR155*0.05,3),IF(E155="PE",ROUND(AJ155*0.15+AK155*0.23+AL155*0.15+AM155*0.15+AN155*0.08+AO155*0.1+AQ155*0.09+AR155*0.05,3),""))</f>
        <v/>
      </c>
      <c r="AT155" s="6">
        <f>IFERROR(ROUND(AS155/(AH155+0.0001),3),"")</f>
        <v/>
      </c>
      <c r="AU155" s="6">
        <f>IFERROR(ROUND(AS155/(AI155/1000),3),"")</f>
        <v/>
      </c>
    </row>
    <row r="156">
      <c r="AS156" s="6">
        <f>IF(E156="FE",ROUND(AJ156*0.15+AK156*0.23+AL156*0.15+AM156*0.15+AN156*0.1+AO156*0.1+AP156*0.07+AR156*0.05,3),IF(E156="PE",ROUND(AJ156*0.15+AK156*0.23+AL156*0.15+AM156*0.15+AN156*0.08+AO156*0.1+AQ156*0.09+AR156*0.05,3),""))</f>
        <v/>
      </c>
      <c r="AT156" s="6">
        <f>IFERROR(ROUND(AS156/(AH156+0.0001),3),"")</f>
        <v/>
      </c>
      <c r="AU156" s="6">
        <f>IFERROR(ROUND(AS156/(AI156/1000),3),"")</f>
        <v/>
      </c>
    </row>
    <row r="157">
      <c r="AS157" s="6">
        <f>IF(E157="FE",ROUND(AJ157*0.15+AK157*0.23+AL157*0.15+AM157*0.15+AN157*0.1+AO157*0.1+AP157*0.07+AR157*0.05,3),IF(E157="PE",ROUND(AJ157*0.15+AK157*0.23+AL157*0.15+AM157*0.15+AN157*0.08+AO157*0.1+AQ157*0.09+AR157*0.05,3),""))</f>
        <v/>
      </c>
      <c r="AT157" s="6">
        <f>IFERROR(ROUND(AS157/(AH157+0.0001),3),"")</f>
        <v/>
      </c>
      <c r="AU157" s="6">
        <f>IFERROR(ROUND(AS157/(AI157/1000),3),"")</f>
        <v/>
      </c>
    </row>
    <row r="158">
      <c r="AS158" s="6">
        <f>IF(E158="FE",ROUND(AJ158*0.15+AK158*0.23+AL158*0.15+AM158*0.15+AN158*0.1+AO158*0.1+AP158*0.07+AR158*0.05,3),IF(E158="PE",ROUND(AJ158*0.15+AK158*0.23+AL158*0.15+AM158*0.15+AN158*0.08+AO158*0.1+AQ158*0.09+AR158*0.05,3),""))</f>
        <v/>
      </c>
      <c r="AT158" s="6">
        <f>IFERROR(ROUND(AS158/(AH158+0.0001),3),"")</f>
        <v/>
      </c>
      <c r="AU158" s="6">
        <f>IFERROR(ROUND(AS158/(AI158/1000),3),"")</f>
        <v/>
      </c>
    </row>
    <row r="159">
      <c r="AS159" s="6">
        <f>IF(E159="FE",ROUND(AJ159*0.15+AK159*0.23+AL159*0.15+AM159*0.15+AN159*0.1+AO159*0.1+AP159*0.07+AR159*0.05,3),IF(E159="PE",ROUND(AJ159*0.15+AK159*0.23+AL159*0.15+AM159*0.15+AN159*0.08+AO159*0.1+AQ159*0.09+AR159*0.05,3),""))</f>
        <v/>
      </c>
      <c r="AT159" s="6">
        <f>IFERROR(ROUND(AS159/(AH159+0.0001),3),"")</f>
        <v/>
      </c>
      <c r="AU159" s="6">
        <f>IFERROR(ROUND(AS159/(AI159/1000),3),"")</f>
        <v/>
      </c>
    </row>
    <row r="160">
      <c r="AS160" s="6">
        <f>IF(E160="FE",ROUND(AJ160*0.15+AK160*0.23+AL160*0.15+AM160*0.15+AN160*0.1+AO160*0.1+AP160*0.07+AR160*0.05,3),IF(E160="PE",ROUND(AJ160*0.15+AK160*0.23+AL160*0.15+AM160*0.15+AN160*0.08+AO160*0.1+AQ160*0.09+AR160*0.05,3),""))</f>
        <v/>
      </c>
      <c r="AT160" s="6">
        <f>IFERROR(ROUND(AS160/(AH160+0.0001),3),"")</f>
        <v/>
      </c>
      <c r="AU160" s="6">
        <f>IFERROR(ROUND(AS160/(AI160/1000),3),"")</f>
        <v/>
      </c>
    </row>
    <row r="161">
      <c r="AS161" s="6">
        <f>IF(E161="FE",ROUND(AJ161*0.15+AK161*0.23+AL161*0.15+AM161*0.15+AN161*0.1+AO161*0.1+AP161*0.07+AR161*0.05,3),IF(E161="PE",ROUND(AJ161*0.15+AK161*0.23+AL161*0.15+AM161*0.15+AN161*0.08+AO161*0.1+AQ161*0.09+AR161*0.05,3),""))</f>
        <v/>
      </c>
      <c r="AT161" s="6">
        <f>IFERROR(ROUND(AS161/(AH161+0.0001),3),"")</f>
        <v/>
      </c>
      <c r="AU161" s="6">
        <f>IFERROR(ROUND(AS161/(AI161/1000),3),"")</f>
        <v/>
      </c>
    </row>
    <row r="162">
      <c r="AS162" s="6">
        <f>IF(E162="FE",ROUND(AJ162*0.15+AK162*0.23+AL162*0.15+AM162*0.15+AN162*0.1+AO162*0.1+AP162*0.07+AR162*0.05,3),IF(E162="PE",ROUND(AJ162*0.15+AK162*0.23+AL162*0.15+AM162*0.15+AN162*0.08+AO162*0.1+AQ162*0.09+AR162*0.05,3),""))</f>
        <v/>
      </c>
      <c r="AT162" s="6">
        <f>IFERROR(ROUND(AS162/(AH162+0.0001),3),"")</f>
        <v/>
      </c>
      <c r="AU162" s="6">
        <f>IFERROR(ROUND(AS162/(AI162/1000),3),"")</f>
        <v/>
      </c>
    </row>
    <row r="163">
      <c r="AS163" s="6">
        <f>IF(E163="FE",ROUND(AJ163*0.15+AK163*0.23+AL163*0.15+AM163*0.15+AN163*0.1+AO163*0.1+AP163*0.07+AR163*0.05,3),IF(E163="PE",ROUND(AJ163*0.15+AK163*0.23+AL163*0.15+AM163*0.15+AN163*0.08+AO163*0.1+AQ163*0.09+AR163*0.05,3),""))</f>
        <v/>
      </c>
      <c r="AT163" s="6">
        <f>IFERROR(ROUND(AS163/(AH163+0.0001),3),"")</f>
        <v/>
      </c>
      <c r="AU163" s="6">
        <f>IFERROR(ROUND(AS163/(AI163/1000),3),"")</f>
        <v/>
      </c>
    </row>
    <row r="164">
      <c r="AS164" s="6">
        <f>IF(E164="FE",ROUND(AJ164*0.15+AK164*0.23+AL164*0.15+AM164*0.15+AN164*0.1+AO164*0.1+AP164*0.07+AR164*0.05,3),IF(E164="PE",ROUND(AJ164*0.15+AK164*0.23+AL164*0.15+AM164*0.15+AN164*0.08+AO164*0.1+AQ164*0.09+AR164*0.05,3),""))</f>
        <v/>
      </c>
      <c r="AT164" s="6">
        <f>IFERROR(ROUND(AS164/(AH164+0.0001),3),"")</f>
        <v/>
      </c>
      <c r="AU164" s="6">
        <f>IFERROR(ROUND(AS164/(AI164/1000),3),"")</f>
        <v/>
      </c>
    </row>
    <row r="165">
      <c r="AS165" s="6">
        <f>IF(E165="FE",ROUND(AJ165*0.15+AK165*0.23+AL165*0.15+AM165*0.15+AN165*0.1+AO165*0.1+AP165*0.07+AR165*0.05,3),IF(E165="PE",ROUND(AJ165*0.15+AK165*0.23+AL165*0.15+AM165*0.15+AN165*0.08+AO165*0.1+AQ165*0.09+AR165*0.05,3),""))</f>
        <v/>
      </c>
      <c r="AT165" s="6">
        <f>IFERROR(ROUND(AS165/(AH165+0.0001),3),"")</f>
        <v/>
      </c>
      <c r="AU165" s="6">
        <f>IFERROR(ROUND(AS165/(AI165/1000),3),"")</f>
        <v/>
      </c>
    </row>
    <row r="166">
      <c r="AS166" s="6">
        <f>IF(E166="FE",ROUND(AJ166*0.15+AK166*0.23+AL166*0.15+AM166*0.15+AN166*0.1+AO166*0.1+AP166*0.07+AR166*0.05,3),IF(E166="PE",ROUND(AJ166*0.15+AK166*0.23+AL166*0.15+AM166*0.15+AN166*0.08+AO166*0.1+AQ166*0.09+AR166*0.05,3),""))</f>
        <v/>
      </c>
      <c r="AT166" s="6">
        <f>IFERROR(ROUND(AS166/(AH166+0.0001),3),"")</f>
        <v/>
      </c>
      <c r="AU166" s="6">
        <f>IFERROR(ROUND(AS166/(AI166/1000),3),"")</f>
        <v/>
      </c>
    </row>
    <row r="167">
      <c r="AS167" s="6">
        <f>IF(E167="FE",ROUND(AJ167*0.15+AK167*0.23+AL167*0.15+AM167*0.15+AN167*0.1+AO167*0.1+AP167*0.07+AR167*0.05,3),IF(E167="PE",ROUND(AJ167*0.15+AK167*0.23+AL167*0.15+AM167*0.15+AN167*0.08+AO167*0.1+AQ167*0.09+AR167*0.05,3),""))</f>
        <v/>
      </c>
      <c r="AT167" s="6">
        <f>IFERROR(ROUND(AS167/(AH167+0.0001),3),"")</f>
        <v/>
      </c>
      <c r="AU167" s="6">
        <f>IFERROR(ROUND(AS167/(AI167/1000),3),"")</f>
        <v/>
      </c>
    </row>
    <row r="168">
      <c r="AS168" s="6">
        <f>IF(E168="FE",ROUND(AJ168*0.15+AK168*0.23+AL168*0.15+AM168*0.15+AN168*0.1+AO168*0.1+AP168*0.07+AR168*0.05,3),IF(E168="PE",ROUND(AJ168*0.15+AK168*0.23+AL168*0.15+AM168*0.15+AN168*0.08+AO168*0.1+AQ168*0.09+AR168*0.05,3),""))</f>
        <v/>
      </c>
      <c r="AT168" s="6">
        <f>IFERROR(ROUND(AS168/(AH168+0.0001),3),"")</f>
        <v/>
      </c>
      <c r="AU168" s="6">
        <f>IFERROR(ROUND(AS168/(AI168/1000),3),"")</f>
        <v/>
      </c>
    </row>
    <row r="169">
      <c r="AS169" s="6">
        <f>IF(E169="FE",ROUND(AJ169*0.15+AK169*0.23+AL169*0.15+AM169*0.15+AN169*0.1+AO169*0.1+AP169*0.07+AR169*0.05,3),IF(E169="PE",ROUND(AJ169*0.15+AK169*0.23+AL169*0.15+AM169*0.15+AN169*0.08+AO169*0.1+AQ169*0.09+AR169*0.05,3),""))</f>
        <v/>
      </c>
      <c r="AT169" s="6">
        <f>IFERROR(ROUND(AS169/(AH169+0.0001),3),"")</f>
        <v/>
      </c>
      <c r="AU169" s="6">
        <f>IFERROR(ROUND(AS169/(AI169/1000),3),"")</f>
        <v/>
      </c>
    </row>
    <row r="170">
      <c r="AS170" s="6">
        <f>IF(E170="FE",ROUND(AJ170*0.15+AK170*0.23+AL170*0.15+AM170*0.15+AN170*0.1+AO170*0.1+AP170*0.07+AR170*0.05,3),IF(E170="PE",ROUND(AJ170*0.15+AK170*0.23+AL170*0.15+AM170*0.15+AN170*0.08+AO170*0.1+AQ170*0.09+AR170*0.05,3),""))</f>
        <v/>
      </c>
      <c r="AT170" s="6">
        <f>IFERROR(ROUND(AS170/(AH170+0.0001),3),"")</f>
        <v/>
      </c>
      <c r="AU170" s="6">
        <f>IFERROR(ROUND(AS170/(AI170/1000),3),"")</f>
        <v/>
      </c>
    </row>
    <row r="171">
      <c r="AS171" s="6">
        <f>IF(E171="FE",ROUND(AJ171*0.15+AK171*0.23+AL171*0.15+AM171*0.15+AN171*0.1+AO171*0.1+AP171*0.07+AR171*0.05,3),IF(E171="PE",ROUND(AJ171*0.15+AK171*0.23+AL171*0.15+AM171*0.15+AN171*0.08+AO171*0.1+AQ171*0.09+AR171*0.05,3),""))</f>
        <v/>
      </c>
      <c r="AT171" s="6">
        <f>IFERROR(ROUND(AS171/(AH171+0.0001),3),"")</f>
        <v/>
      </c>
      <c r="AU171" s="6">
        <f>IFERROR(ROUND(AS171/(AI171/1000),3),"")</f>
        <v/>
      </c>
    </row>
    <row r="172">
      <c r="AS172" s="6">
        <f>IF(E172="FE",ROUND(AJ172*0.15+AK172*0.23+AL172*0.15+AM172*0.15+AN172*0.1+AO172*0.1+AP172*0.07+AR172*0.05,3),IF(E172="PE",ROUND(AJ172*0.15+AK172*0.23+AL172*0.15+AM172*0.15+AN172*0.08+AO172*0.1+AQ172*0.09+AR172*0.05,3),""))</f>
        <v/>
      </c>
      <c r="AT172" s="6">
        <f>IFERROR(ROUND(AS172/(AH172+0.0001),3),"")</f>
        <v/>
      </c>
      <c r="AU172" s="6">
        <f>IFERROR(ROUND(AS172/(AI172/1000),3),"")</f>
        <v/>
      </c>
    </row>
    <row r="173">
      <c r="AS173" s="6">
        <f>IF(E173="FE",ROUND(AJ173*0.15+AK173*0.23+AL173*0.15+AM173*0.15+AN173*0.1+AO173*0.1+AP173*0.07+AR173*0.05,3),IF(E173="PE",ROUND(AJ173*0.15+AK173*0.23+AL173*0.15+AM173*0.15+AN173*0.08+AO173*0.1+AQ173*0.09+AR173*0.05,3),""))</f>
        <v/>
      </c>
      <c r="AT173" s="6">
        <f>IFERROR(ROUND(AS173/(AH173+0.0001),3),"")</f>
        <v/>
      </c>
      <c r="AU173" s="6">
        <f>IFERROR(ROUND(AS173/(AI173/1000),3),"")</f>
        <v/>
      </c>
    </row>
    <row r="174">
      <c r="AS174" s="6">
        <f>IF(E174="FE",ROUND(AJ174*0.15+AK174*0.23+AL174*0.15+AM174*0.15+AN174*0.1+AO174*0.1+AP174*0.07+AR174*0.05,3),IF(E174="PE",ROUND(AJ174*0.15+AK174*0.23+AL174*0.15+AM174*0.15+AN174*0.08+AO174*0.1+AQ174*0.09+AR174*0.05,3),""))</f>
        <v/>
      </c>
      <c r="AT174" s="6">
        <f>IFERROR(ROUND(AS174/(AH174+0.0001),3),"")</f>
        <v/>
      </c>
      <c r="AU174" s="6">
        <f>IFERROR(ROUND(AS174/(AI174/1000),3),"")</f>
        <v/>
      </c>
    </row>
    <row r="175">
      <c r="AS175" s="6">
        <f>IF(E175="FE",ROUND(AJ175*0.15+AK175*0.23+AL175*0.15+AM175*0.15+AN175*0.1+AO175*0.1+AP175*0.07+AR175*0.05,3),IF(E175="PE",ROUND(AJ175*0.15+AK175*0.23+AL175*0.15+AM175*0.15+AN175*0.08+AO175*0.1+AQ175*0.09+AR175*0.05,3),""))</f>
        <v/>
      </c>
      <c r="AT175" s="6">
        <f>IFERROR(ROUND(AS175/(AH175+0.0001),3),"")</f>
        <v/>
      </c>
      <c r="AU175" s="6">
        <f>IFERROR(ROUND(AS175/(AI175/1000),3),"")</f>
        <v/>
      </c>
    </row>
    <row r="176">
      <c r="AS176" s="6">
        <f>IF(E176="FE",ROUND(AJ176*0.15+AK176*0.23+AL176*0.15+AM176*0.15+AN176*0.1+AO176*0.1+AP176*0.07+AR176*0.05,3),IF(E176="PE",ROUND(AJ176*0.15+AK176*0.23+AL176*0.15+AM176*0.15+AN176*0.08+AO176*0.1+AQ176*0.09+AR176*0.05,3),""))</f>
        <v/>
      </c>
      <c r="AT176" s="6">
        <f>IFERROR(ROUND(AS176/(AH176+0.0001),3),"")</f>
        <v/>
      </c>
      <c r="AU176" s="6">
        <f>IFERROR(ROUND(AS176/(AI176/1000),3),"")</f>
        <v/>
      </c>
    </row>
    <row r="177">
      <c r="AS177" s="6">
        <f>IF(E177="FE",ROUND(AJ177*0.15+AK177*0.23+AL177*0.15+AM177*0.15+AN177*0.1+AO177*0.1+AP177*0.07+AR177*0.05,3),IF(E177="PE",ROUND(AJ177*0.15+AK177*0.23+AL177*0.15+AM177*0.15+AN177*0.08+AO177*0.1+AQ177*0.09+AR177*0.05,3),""))</f>
        <v/>
      </c>
      <c r="AT177" s="6">
        <f>IFERROR(ROUND(AS177/(AH177+0.0001),3),"")</f>
        <v/>
      </c>
      <c r="AU177" s="6">
        <f>IFERROR(ROUND(AS177/(AI177/1000),3),"")</f>
        <v/>
      </c>
    </row>
    <row r="178">
      <c r="AS178" s="6">
        <f>IF(E178="FE",ROUND(AJ178*0.15+AK178*0.23+AL178*0.15+AM178*0.15+AN178*0.1+AO178*0.1+AP178*0.07+AR178*0.05,3),IF(E178="PE",ROUND(AJ178*0.15+AK178*0.23+AL178*0.15+AM178*0.15+AN178*0.08+AO178*0.1+AQ178*0.09+AR178*0.05,3),""))</f>
        <v/>
      </c>
      <c r="AT178" s="6">
        <f>IFERROR(ROUND(AS178/(AH178+0.0001),3),"")</f>
        <v/>
      </c>
      <c r="AU178" s="6">
        <f>IFERROR(ROUND(AS178/(AI178/1000),3),"")</f>
        <v/>
      </c>
    </row>
    <row r="179">
      <c r="AS179" s="6">
        <f>IF(E179="FE",ROUND(AJ179*0.15+AK179*0.23+AL179*0.15+AM179*0.15+AN179*0.1+AO179*0.1+AP179*0.07+AR179*0.05,3),IF(E179="PE",ROUND(AJ179*0.15+AK179*0.23+AL179*0.15+AM179*0.15+AN179*0.08+AO179*0.1+AQ179*0.09+AR179*0.05,3),""))</f>
        <v/>
      </c>
      <c r="AT179" s="6">
        <f>IFERROR(ROUND(AS179/(AH179+0.0001),3),"")</f>
        <v/>
      </c>
      <c r="AU179" s="6">
        <f>IFERROR(ROUND(AS179/(AI179/1000),3),"")</f>
        <v/>
      </c>
    </row>
    <row r="180">
      <c r="AS180" s="6">
        <f>IF(E180="FE",ROUND(AJ180*0.15+AK180*0.23+AL180*0.15+AM180*0.15+AN180*0.1+AO180*0.1+AP180*0.07+AR180*0.05,3),IF(E180="PE",ROUND(AJ180*0.15+AK180*0.23+AL180*0.15+AM180*0.15+AN180*0.08+AO180*0.1+AQ180*0.09+AR180*0.05,3),""))</f>
        <v/>
      </c>
      <c r="AT180" s="6">
        <f>IFERROR(ROUND(AS180/(AH180+0.0001),3),"")</f>
        <v/>
      </c>
      <c r="AU180" s="6">
        <f>IFERROR(ROUND(AS180/(AI180/1000),3),"")</f>
        <v/>
      </c>
    </row>
    <row r="181">
      <c r="AS181" s="6">
        <f>IF(E181="FE",ROUND(AJ181*0.15+AK181*0.23+AL181*0.15+AM181*0.15+AN181*0.1+AO181*0.1+AP181*0.07+AR181*0.05,3),IF(E181="PE",ROUND(AJ181*0.15+AK181*0.23+AL181*0.15+AM181*0.15+AN181*0.08+AO181*0.1+AQ181*0.09+AR181*0.05,3),""))</f>
        <v/>
      </c>
      <c r="AT181" s="6">
        <f>IFERROR(ROUND(AS181/(AH181+0.0001),3),"")</f>
        <v/>
      </c>
      <c r="AU181" s="6">
        <f>IFERROR(ROUND(AS181/(AI181/1000),3),"")</f>
        <v/>
      </c>
    </row>
    <row r="182">
      <c r="AS182" s="6">
        <f>IF(E182="FE",ROUND(AJ182*0.15+AK182*0.23+AL182*0.15+AM182*0.15+AN182*0.1+AO182*0.1+AP182*0.07+AR182*0.05,3),IF(E182="PE",ROUND(AJ182*0.15+AK182*0.23+AL182*0.15+AM182*0.15+AN182*0.08+AO182*0.1+AQ182*0.09+AR182*0.05,3),""))</f>
        <v/>
      </c>
      <c r="AT182" s="6">
        <f>IFERROR(ROUND(AS182/(AH182+0.0001),3),"")</f>
        <v/>
      </c>
      <c r="AU182" s="6">
        <f>IFERROR(ROUND(AS182/(AI182/1000),3),"")</f>
        <v/>
      </c>
    </row>
    <row r="183">
      <c r="AS183" s="6">
        <f>IF(E183="FE",ROUND(AJ183*0.15+AK183*0.23+AL183*0.15+AM183*0.15+AN183*0.1+AO183*0.1+AP183*0.07+AR183*0.05,3),IF(E183="PE",ROUND(AJ183*0.15+AK183*0.23+AL183*0.15+AM183*0.15+AN183*0.08+AO183*0.1+AQ183*0.09+AR183*0.05,3),""))</f>
        <v/>
      </c>
      <c r="AT183" s="6">
        <f>IFERROR(ROUND(AS183/(AH183+0.0001),3),"")</f>
        <v/>
      </c>
      <c r="AU183" s="6">
        <f>IFERROR(ROUND(AS183/(AI183/1000),3),"")</f>
        <v/>
      </c>
    </row>
    <row r="184">
      <c r="AS184" s="6">
        <f>IF(E184="FE",ROUND(AJ184*0.15+AK184*0.23+AL184*0.15+AM184*0.15+AN184*0.1+AO184*0.1+AP184*0.07+AR184*0.05,3),IF(E184="PE",ROUND(AJ184*0.15+AK184*0.23+AL184*0.15+AM184*0.15+AN184*0.08+AO184*0.1+AQ184*0.09+AR184*0.05,3),""))</f>
        <v/>
      </c>
      <c r="AT184" s="6">
        <f>IFERROR(ROUND(AS184/(AH184+0.0001),3),"")</f>
        <v/>
      </c>
      <c r="AU184" s="6">
        <f>IFERROR(ROUND(AS184/(AI184/1000),3),"")</f>
        <v/>
      </c>
    </row>
    <row r="185">
      <c r="AS185" s="6">
        <f>IF(E185="FE",ROUND(AJ185*0.15+AK185*0.23+AL185*0.15+AM185*0.15+AN185*0.1+AO185*0.1+AP185*0.07+AR185*0.05,3),IF(E185="PE",ROUND(AJ185*0.15+AK185*0.23+AL185*0.15+AM185*0.15+AN185*0.08+AO185*0.1+AQ185*0.09+AR185*0.05,3),""))</f>
        <v/>
      </c>
      <c r="AT185" s="6">
        <f>IFERROR(ROUND(AS185/(AH185+0.0001),3),"")</f>
        <v/>
      </c>
      <c r="AU185" s="6">
        <f>IFERROR(ROUND(AS185/(AI185/1000),3),"")</f>
        <v/>
      </c>
    </row>
    <row r="186">
      <c r="AS186" s="6">
        <f>IF(E186="FE",ROUND(AJ186*0.15+AK186*0.23+AL186*0.15+AM186*0.15+AN186*0.1+AO186*0.1+AP186*0.07+AR186*0.05,3),IF(E186="PE",ROUND(AJ186*0.15+AK186*0.23+AL186*0.15+AM186*0.15+AN186*0.08+AO186*0.1+AQ186*0.09+AR186*0.05,3),""))</f>
        <v/>
      </c>
      <c r="AT186" s="6">
        <f>IFERROR(ROUND(AS186/(AH186+0.0001),3),"")</f>
        <v/>
      </c>
      <c r="AU186" s="6">
        <f>IFERROR(ROUND(AS186/(AI186/1000),3),"")</f>
        <v/>
      </c>
    </row>
    <row r="187">
      <c r="AS187" s="6">
        <f>IF(E187="FE",ROUND(AJ187*0.15+AK187*0.23+AL187*0.15+AM187*0.15+AN187*0.1+AO187*0.1+AP187*0.07+AR187*0.05,3),IF(E187="PE",ROUND(AJ187*0.15+AK187*0.23+AL187*0.15+AM187*0.15+AN187*0.08+AO187*0.1+AQ187*0.09+AR187*0.05,3),""))</f>
        <v/>
      </c>
      <c r="AT187" s="6">
        <f>IFERROR(ROUND(AS187/(AH187+0.0001),3),"")</f>
        <v/>
      </c>
      <c r="AU187" s="6">
        <f>IFERROR(ROUND(AS187/(AI187/1000),3),"")</f>
        <v/>
      </c>
    </row>
    <row r="188">
      <c r="AS188" s="6">
        <f>IF(E188="FE",ROUND(AJ188*0.15+AK188*0.23+AL188*0.15+AM188*0.15+AN188*0.1+AO188*0.1+AP188*0.07+AR188*0.05,3),IF(E188="PE",ROUND(AJ188*0.15+AK188*0.23+AL188*0.15+AM188*0.15+AN188*0.08+AO188*0.1+AQ188*0.09+AR188*0.05,3),""))</f>
        <v/>
      </c>
      <c r="AT188" s="6">
        <f>IFERROR(ROUND(AS188/(AH188+0.0001),3),"")</f>
        <v/>
      </c>
      <c r="AU188" s="6">
        <f>IFERROR(ROUND(AS188/(AI188/1000),3),"")</f>
        <v/>
      </c>
    </row>
    <row r="189">
      <c r="AS189" s="6">
        <f>IF(E189="FE",ROUND(AJ189*0.15+AK189*0.23+AL189*0.15+AM189*0.15+AN189*0.1+AO189*0.1+AP189*0.07+AR189*0.05,3),IF(E189="PE",ROUND(AJ189*0.15+AK189*0.23+AL189*0.15+AM189*0.15+AN189*0.08+AO189*0.1+AQ189*0.09+AR189*0.05,3),""))</f>
        <v/>
      </c>
      <c r="AT189" s="6">
        <f>IFERROR(ROUND(AS189/(AH189+0.0001),3),"")</f>
        <v/>
      </c>
      <c r="AU189" s="6">
        <f>IFERROR(ROUND(AS189/(AI189/1000),3),"")</f>
        <v/>
      </c>
    </row>
    <row r="190">
      <c r="AS190" s="6">
        <f>IF(E190="FE",ROUND(AJ190*0.15+AK190*0.23+AL190*0.15+AM190*0.15+AN190*0.1+AO190*0.1+AP190*0.07+AR190*0.05,3),IF(E190="PE",ROUND(AJ190*0.15+AK190*0.23+AL190*0.15+AM190*0.15+AN190*0.08+AO190*0.1+AQ190*0.09+AR190*0.05,3),""))</f>
        <v/>
      </c>
      <c r="AT190" s="6">
        <f>IFERROR(ROUND(AS190/(AH190+0.0001),3),"")</f>
        <v/>
      </c>
      <c r="AU190" s="6">
        <f>IFERROR(ROUND(AS190/(AI190/1000),3),"")</f>
        <v/>
      </c>
    </row>
    <row r="191">
      <c r="AS191" s="6">
        <f>IF(E191="FE",ROUND(AJ191*0.15+AK191*0.23+AL191*0.15+AM191*0.15+AN191*0.1+AO191*0.1+AP191*0.07+AR191*0.05,3),IF(E191="PE",ROUND(AJ191*0.15+AK191*0.23+AL191*0.15+AM191*0.15+AN191*0.08+AO191*0.1+AQ191*0.09+AR191*0.05,3),""))</f>
        <v/>
      </c>
      <c r="AT191" s="6">
        <f>IFERROR(ROUND(AS191/(AH191+0.0001),3),"")</f>
        <v/>
      </c>
      <c r="AU191" s="6">
        <f>IFERROR(ROUND(AS191/(AI191/1000),3),"")</f>
        <v/>
      </c>
    </row>
    <row r="192">
      <c r="AS192" s="6">
        <f>IF(E192="FE",ROUND(AJ192*0.15+AK192*0.23+AL192*0.15+AM192*0.15+AN192*0.1+AO192*0.1+AP192*0.07+AR192*0.05,3),IF(E192="PE",ROUND(AJ192*0.15+AK192*0.23+AL192*0.15+AM192*0.15+AN192*0.08+AO192*0.1+AQ192*0.09+AR192*0.05,3),""))</f>
        <v/>
      </c>
      <c r="AT192" s="6">
        <f>IFERROR(ROUND(AS192/(AH192+0.0001),3),"")</f>
        <v/>
      </c>
      <c r="AU192" s="6">
        <f>IFERROR(ROUND(AS192/(AI192/1000),3),"")</f>
        <v/>
      </c>
    </row>
    <row r="193">
      <c r="AS193" s="6">
        <f>IF(E193="FE",ROUND(AJ193*0.15+AK193*0.23+AL193*0.15+AM193*0.15+AN193*0.1+AO193*0.1+AP193*0.07+AR193*0.05,3),IF(E193="PE",ROUND(AJ193*0.15+AK193*0.23+AL193*0.15+AM193*0.15+AN193*0.08+AO193*0.1+AQ193*0.09+AR193*0.05,3),""))</f>
        <v/>
      </c>
      <c r="AT193" s="6">
        <f>IFERROR(ROUND(AS193/(AH193+0.0001),3),"")</f>
        <v/>
      </c>
      <c r="AU193" s="6">
        <f>IFERROR(ROUND(AS193/(AI193/1000),3),"")</f>
        <v/>
      </c>
    </row>
    <row r="194">
      <c r="AS194" s="6">
        <f>IF(E194="FE",ROUND(AJ194*0.15+AK194*0.23+AL194*0.15+AM194*0.15+AN194*0.1+AO194*0.1+AP194*0.07+AR194*0.05,3),IF(E194="PE",ROUND(AJ194*0.15+AK194*0.23+AL194*0.15+AM194*0.15+AN194*0.08+AO194*0.1+AQ194*0.09+AR194*0.05,3),""))</f>
        <v/>
      </c>
      <c r="AT194" s="6">
        <f>IFERROR(ROUND(AS194/(AH194+0.0001),3),"")</f>
        <v/>
      </c>
      <c r="AU194" s="6">
        <f>IFERROR(ROUND(AS194/(AI194/1000),3),"")</f>
        <v/>
      </c>
    </row>
    <row r="195">
      <c r="AS195" s="6">
        <f>IF(E195="FE",ROUND(AJ195*0.15+AK195*0.23+AL195*0.15+AM195*0.15+AN195*0.1+AO195*0.1+AP195*0.07+AR195*0.05,3),IF(E195="PE",ROUND(AJ195*0.15+AK195*0.23+AL195*0.15+AM195*0.15+AN195*0.08+AO195*0.1+AQ195*0.09+AR195*0.05,3),""))</f>
        <v/>
      </c>
      <c r="AT195" s="6">
        <f>IFERROR(ROUND(AS195/(AH195+0.0001),3),"")</f>
        <v/>
      </c>
      <c r="AU195" s="6">
        <f>IFERROR(ROUND(AS195/(AI195/1000),3),"")</f>
        <v/>
      </c>
    </row>
    <row r="196">
      <c r="AS196" s="6">
        <f>IF(E196="FE",ROUND(AJ196*0.15+AK196*0.23+AL196*0.15+AM196*0.15+AN196*0.1+AO196*0.1+AP196*0.07+AR196*0.05,3),IF(E196="PE",ROUND(AJ196*0.15+AK196*0.23+AL196*0.15+AM196*0.15+AN196*0.08+AO196*0.1+AQ196*0.09+AR196*0.05,3),""))</f>
        <v/>
      </c>
      <c r="AT196" s="6">
        <f>IFERROR(ROUND(AS196/(AH196+0.0001),3),"")</f>
        <v/>
      </c>
      <c r="AU196" s="6">
        <f>IFERROR(ROUND(AS196/(AI196/1000),3),"")</f>
        <v/>
      </c>
    </row>
    <row r="197">
      <c r="AS197" s="6">
        <f>IF(E197="FE",ROUND(AJ197*0.15+AK197*0.23+AL197*0.15+AM197*0.15+AN197*0.1+AO197*0.1+AP197*0.07+AR197*0.05,3),IF(E197="PE",ROUND(AJ197*0.15+AK197*0.23+AL197*0.15+AM197*0.15+AN197*0.08+AO197*0.1+AQ197*0.09+AR197*0.05,3),""))</f>
        <v/>
      </c>
      <c r="AT197" s="6">
        <f>IFERROR(ROUND(AS197/(AH197+0.0001),3),"")</f>
        <v/>
      </c>
      <c r="AU197" s="6">
        <f>IFERROR(ROUND(AS197/(AI197/1000),3),"")</f>
        <v/>
      </c>
    </row>
    <row r="198">
      <c r="AS198" s="6">
        <f>IF(E198="FE",ROUND(AJ198*0.15+AK198*0.23+AL198*0.15+AM198*0.15+AN198*0.1+AO198*0.1+AP198*0.07+AR198*0.05,3),IF(E198="PE",ROUND(AJ198*0.15+AK198*0.23+AL198*0.15+AM198*0.15+AN198*0.08+AO198*0.1+AQ198*0.09+AR198*0.05,3),""))</f>
        <v/>
      </c>
      <c r="AT198" s="6">
        <f>IFERROR(ROUND(AS198/(AH198+0.0001),3),"")</f>
        <v/>
      </c>
      <c r="AU198" s="6">
        <f>IFERROR(ROUND(AS198/(AI198/1000),3),"")</f>
        <v/>
      </c>
    </row>
    <row r="199">
      <c r="AS199" s="6">
        <f>IF(E199="FE",ROUND(AJ199*0.15+AK199*0.23+AL199*0.15+AM199*0.15+AN199*0.1+AO199*0.1+AP199*0.07+AR199*0.05,3),IF(E199="PE",ROUND(AJ199*0.15+AK199*0.23+AL199*0.15+AM199*0.15+AN199*0.08+AO199*0.1+AQ199*0.09+AR199*0.05,3),""))</f>
        <v/>
      </c>
      <c r="AT199" s="6">
        <f>IFERROR(ROUND(AS199/(AH199+0.0001),3),"")</f>
        <v/>
      </c>
      <c r="AU199" s="6">
        <f>IFERROR(ROUND(AS199/(AI199/1000),3),"")</f>
        <v/>
      </c>
    </row>
    <row r="200">
      <c r="AS200" s="6">
        <f>IF(E200="FE",ROUND(AJ200*0.15+AK200*0.23+AL200*0.15+AM200*0.15+AN200*0.1+AO200*0.1+AP200*0.07+AR200*0.05,3),IF(E200="PE",ROUND(AJ200*0.15+AK200*0.23+AL200*0.15+AM200*0.15+AN200*0.08+AO200*0.1+AQ200*0.09+AR200*0.05,3),""))</f>
        <v/>
      </c>
      <c r="AT200" s="6">
        <f>IFERROR(ROUND(AS200/(AH200+0.0001),3),"")</f>
        <v/>
      </c>
      <c r="AU200" s="6">
        <f>IFERROR(ROUND(AS200/(AI200/1000),3),"")</f>
        <v/>
      </c>
    </row>
    <row r="201">
      <c r="AS201" s="6">
        <f>IF(E201="FE",ROUND(AJ201*0.15+AK201*0.23+AL201*0.15+AM201*0.15+AN201*0.1+AO201*0.1+AP201*0.07+AR201*0.05,3),IF(E201="PE",ROUND(AJ201*0.15+AK201*0.23+AL201*0.15+AM201*0.15+AN201*0.08+AO201*0.1+AQ201*0.09+AR201*0.05,3),""))</f>
        <v/>
      </c>
      <c r="AT201" s="6">
        <f>IFERROR(ROUND(AS201/(AH201+0.0001),3),"")</f>
        <v/>
      </c>
      <c r="AU201" s="6">
        <f>IFERROR(ROUND(AS201/(AI201/1000),3),"")</f>
        <v/>
      </c>
    </row>
    <row r="202">
      <c r="AS202" s="6">
        <f>IF(E202="FE",ROUND(AJ202*0.15+AK202*0.23+AL202*0.15+AM202*0.15+AN202*0.1+AO202*0.1+AP202*0.07+AR202*0.05,3),IF(E202="PE",ROUND(AJ202*0.15+AK202*0.23+AL202*0.15+AM202*0.15+AN202*0.08+AO202*0.1+AQ202*0.09+AR202*0.05,3),""))</f>
        <v/>
      </c>
      <c r="AT202" s="6">
        <f>IFERROR(ROUND(AS202/(AH202+0.0001),3),"")</f>
        <v/>
      </c>
      <c r="AU202" s="6">
        <f>IFERROR(ROUND(AS202/(AI202/1000),3),"")</f>
        <v/>
      </c>
    </row>
    <row r="203">
      <c r="AS203" s="6">
        <f>IF(E203="FE",ROUND(AJ203*0.15+AK203*0.23+AL203*0.15+AM203*0.15+AN203*0.1+AO203*0.1+AP203*0.07+AR203*0.05,3),IF(E203="PE",ROUND(AJ203*0.15+AK203*0.23+AL203*0.15+AM203*0.15+AN203*0.08+AO203*0.1+AQ203*0.09+AR203*0.05,3),""))</f>
        <v/>
      </c>
      <c r="AT203" s="6">
        <f>IFERROR(ROUND(AS203/(AH203+0.0001),3),"")</f>
        <v/>
      </c>
      <c r="AU203" s="6">
        <f>IFERROR(ROUND(AS203/(AI203/1000),3),"")</f>
        <v/>
      </c>
    </row>
    <row r="204">
      <c r="AS204" s="6">
        <f>IF(E204="FE",ROUND(AJ204*0.15+AK204*0.23+AL204*0.15+AM204*0.15+AN204*0.1+AO204*0.1+AP204*0.07+AR204*0.05,3),IF(E204="PE",ROUND(AJ204*0.15+AK204*0.23+AL204*0.15+AM204*0.15+AN204*0.08+AO204*0.1+AQ204*0.09+AR204*0.05,3),""))</f>
        <v/>
      </c>
      <c r="AT204" s="6">
        <f>IFERROR(ROUND(AS204/(AH204+0.0001),3),"")</f>
        <v/>
      </c>
      <c r="AU204" s="6">
        <f>IFERROR(ROUND(AS204/(AI204/1000),3),"")</f>
        <v/>
      </c>
    </row>
    <row r="205">
      <c r="AS205" s="6">
        <f>IF(E205="FE",ROUND(AJ205*0.15+AK205*0.23+AL205*0.15+AM205*0.15+AN205*0.1+AO205*0.1+AP205*0.07+AR205*0.05,3),IF(E205="PE",ROUND(AJ205*0.15+AK205*0.23+AL205*0.15+AM205*0.15+AN205*0.08+AO205*0.1+AQ205*0.09+AR205*0.05,3),""))</f>
        <v/>
      </c>
      <c r="AT205" s="6">
        <f>IFERROR(ROUND(AS205/(AH205+0.0001),3),"")</f>
        <v/>
      </c>
      <c r="AU205" s="6">
        <f>IFERROR(ROUND(AS205/(AI205/1000),3),"")</f>
        <v/>
      </c>
    </row>
    <row r="206">
      <c r="AS206" s="6">
        <f>IF(E206="FE",ROUND(AJ206*0.15+AK206*0.23+AL206*0.15+AM206*0.15+AN206*0.1+AO206*0.1+AP206*0.07+AR206*0.05,3),IF(E206="PE",ROUND(AJ206*0.15+AK206*0.23+AL206*0.15+AM206*0.15+AN206*0.08+AO206*0.1+AQ206*0.09+AR206*0.05,3),""))</f>
        <v/>
      </c>
      <c r="AT206" s="6">
        <f>IFERROR(ROUND(AS206/(AH206+0.0001),3),"")</f>
        <v/>
      </c>
      <c r="AU206" s="6">
        <f>IFERROR(ROUND(AS206/(AI206/1000),3),"")</f>
        <v/>
      </c>
    </row>
    <row r="207">
      <c r="AS207" s="6">
        <f>IF(E207="FE",ROUND(AJ207*0.15+AK207*0.23+AL207*0.15+AM207*0.15+AN207*0.1+AO207*0.1+AP207*0.07+AR207*0.05,3),IF(E207="PE",ROUND(AJ207*0.15+AK207*0.23+AL207*0.15+AM207*0.15+AN207*0.08+AO207*0.1+AQ207*0.09+AR207*0.05,3),""))</f>
        <v/>
      </c>
      <c r="AT207" s="6">
        <f>IFERROR(ROUND(AS207/(AH207+0.0001),3),"")</f>
        <v/>
      </c>
      <c r="AU207" s="6">
        <f>IFERROR(ROUND(AS207/(AI207/1000),3),"")</f>
        <v/>
      </c>
    </row>
    <row r="208">
      <c r="AS208" s="6">
        <f>IF(E208="FE",ROUND(AJ208*0.15+AK208*0.23+AL208*0.15+AM208*0.15+AN208*0.1+AO208*0.1+AP208*0.07+AR208*0.05,3),IF(E208="PE",ROUND(AJ208*0.15+AK208*0.23+AL208*0.15+AM208*0.15+AN208*0.08+AO208*0.1+AQ208*0.09+AR208*0.05,3),""))</f>
        <v/>
      </c>
      <c r="AT208" s="6">
        <f>IFERROR(ROUND(AS208/(AH208+0.0001),3),"")</f>
        <v/>
      </c>
      <c r="AU208" s="6">
        <f>IFERROR(ROUND(AS208/(AI208/1000),3),"")</f>
        <v/>
      </c>
    </row>
    <row r="209">
      <c r="AS209" s="6">
        <f>IF(E209="FE",ROUND(AJ209*0.15+AK209*0.23+AL209*0.15+AM209*0.15+AN209*0.1+AO209*0.1+AP209*0.07+AR209*0.05,3),IF(E209="PE",ROUND(AJ209*0.15+AK209*0.23+AL209*0.15+AM209*0.15+AN209*0.08+AO209*0.1+AQ209*0.09+AR209*0.05,3),""))</f>
        <v/>
      </c>
      <c r="AT209" s="6">
        <f>IFERROR(ROUND(AS209/(AH209+0.0001),3),"")</f>
        <v/>
      </c>
      <c r="AU209" s="6">
        <f>IFERROR(ROUND(AS209/(AI209/1000),3),"")</f>
        <v/>
      </c>
    </row>
    <row r="210">
      <c r="AS210" s="6">
        <f>IF(E210="FE",ROUND(AJ210*0.15+AK210*0.23+AL210*0.15+AM210*0.15+AN210*0.1+AO210*0.1+AP210*0.07+AR210*0.05,3),IF(E210="PE",ROUND(AJ210*0.15+AK210*0.23+AL210*0.15+AM210*0.15+AN210*0.08+AO210*0.1+AQ210*0.09+AR210*0.05,3),""))</f>
        <v/>
      </c>
      <c r="AT210" s="6">
        <f>IFERROR(ROUND(AS210/(AH210+0.0001),3),"")</f>
        <v/>
      </c>
      <c r="AU210" s="6">
        <f>IFERROR(ROUND(AS210/(AI210/1000),3),"")</f>
        <v/>
      </c>
    </row>
    <row r="211">
      <c r="AS211" s="6">
        <f>IF(E211="FE",ROUND(AJ211*0.15+AK211*0.23+AL211*0.15+AM211*0.15+AN211*0.1+AO211*0.1+AP211*0.07+AR211*0.05,3),IF(E211="PE",ROUND(AJ211*0.15+AK211*0.23+AL211*0.15+AM211*0.15+AN211*0.08+AO211*0.1+AQ211*0.09+AR211*0.05,3),""))</f>
        <v/>
      </c>
      <c r="AT211" s="6">
        <f>IFERROR(ROUND(AS211/(AH211+0.0001),3),"")</f>
        <v/>
      </c>
      <c r="AU211" s="6">
        <f>IFERROR(ROUND(AS211/(AI211/1000),3),"")</f>
        <v/>
      </c>
    </row>
    <row r="212">
      <c r="AS212" s="6">
        <f>IF(E212="FE",ROUND(AJ212*0.15+AK212*0.23+AL212*0.15+AM212*0.15+AN212*0.1+AO212*0.1+AP212*0.07+AR212*0.05,3),IF(E212="PE",ROUND(AJ212*0.15+AK212*0.23+AL212*0.15+AM212*0.15+AN212*0.08+AO212*0.1+AQ212*0.09+AR212*0.05,3),""))</f>
        <v/>
      </c>
      <c r="AT212" s="6">
        <f>IFERROR(ROUND(AS212/(AH212+0.0001),3),"")</f>
        <v/>
      </c>
      <c r="AU212" s="6">
        <f>IFERROR(ROUND(AS212/(AI212/1000),3),"")</f>
        <v/>
      </c>
    </row>
    <row r="213">
      <c r="AS213" s="6">
        <f>IF(E213="FE",ROUND(AJ213*0.15+AK213*0.23+AL213*0.15+AM213*0.15+AN213*0.1+AO213*0.1+AP213*0.07+AR213*0.05,3),IF(E213="PE",ROUND(AJ213*0.15+AK213*0.23+AL213*0.15+AM213*0.15+AN213*0.08+AO213*0.1+AQ213*0.09+AR213*0.05,3),""))</f>
        <v/>
      </c>
      <c r="AT213" s="6">
        <f>IFERROR(ROUND(AS213/(AH213+0.0001),3),"")</f>
        <v/>
      </c>
      <c r="AU213" s="6">
        <f>IFERROR(ROUND(AS213/(AI213/1000),3),"")</f>
        <v/>
      </c>
    </row>
    <row r="214">
      <c r="AS214" s="6">
        <f>IF(E214="FE",ROUND(AJ214*0.15+AK214*0.23+AL214*0.15+AM214*0.15+AN214*0.1+AO214*0.1+AP214*0.07+AR214*0.05,3),IF(E214="PE",ROUND(AJ214*0.15+AK214*0.23+AL214*0.15+AM214*0.15+AN214*0.08+AO214*0.1+AQ214*0.09+AR214*0.05,3),""))</f>
        <v/>
      </c>
      <c r="AT214" s="6">
        <f>IFERROR(ROUND(AS214/(AH214+0.0001),3),"")</f>
        <v/>
      </c>
      <c r="AU214" s="6">
        <f>IFERROR(ROUND(AS214/(AI214/1000),3),"")</f>
        <v/>
      </c>
    </row>
    <row r="215">
      <c r="AS215" s="6">
        <f>IF(E215="FE",ROUND(AJ215*0.15+AK215*0.23+AL215*0.15+AM215*0.15+AN215*0.1+AO215*0.1+AP215*0.07+AR215*0.05,3),IF(E215="PE",ROUND(AJ215*0.15+AK215*0.23+AL215*0.15+AM215*0.15+AN215*0.08+AO215*0.1+AQ215*0.09+AR215*0.05,3),""))</f>
        <v/>
      </c>
      <c r="AT215" s="6">
        <f>IFERROR(ROUND(AS215/(AH215+0.0001),3),"")</f>
        <v/>
      </c>
      <c r="AU215" s="6">
        <f>IFERROR(ROUND(AS215/(AI215/1000),3),"")</f>
        <v/>
      </c>
    </row>
    <row r="216">
      <c r="AS216" s="6">
        <f>IF(E216="FE",ROUND(AJ216*0.15+AK216*0.23+AL216*0.15+AM216*0.15+AN216*0.1+AO216*0.1+AP216*0.07+AR216*0.05,3),IF(E216="PE",ROUND(AJ216*0.15+AK216*0.23+AL216*0.15+AM216*0.15+AN216*0.08+AO216*0.1+AQ216*0.09+AR216*0.05,3),""))</f>
        <v/>
      </c>
      <c r="AT216" s="6">
        <f>IFERROR(ROUND(AS216/(AH216+0.0001),3),"")</f>
        <v/>
      </c>
      <c r="AU216" s="6">
        <f>IFERROR(ROUND(AS216/(AI216/1000),3),"")</f>
        <v/>
      </c>
    </row>
    <row r="217">
      <c r="AS217" s="6">
        <f>IF(E217="FE",ROUND(AJ217*0.15+AK217*0.23+AL217*0.15+AM217*0.15+AN217*0.1+AO217*0.1+AP217*0.07+AR217*0.05,3),IF(E217="PE",ROUND(AJ217*0.15+AK217*0.23+AL217*0.15+AM217*0.15+AN217*0.08+AO217*0.1+AQ217*0.09+AR217*0.05,3),""))</f>
        <v/>
      </c>
      <c r="AT217" s="6">
        <f>IFERROR(ROUND(AS217/(AH217+0.0001),3),"")</f>
        <v/>
      </c>
      <c r="AU217" s="6">
        <f>IFERROR(ROUND(AS217/(AI217/1000),3),"")</f>
        <v/>
      </c>
    </row>
    <row r="218">
      <c r="AS218" s="6">
        <f>IF(E218="FE",ROUND(AJ218*0.15+AK218*0.23+AL218*0.15+AM218*0.15+AN218*0.1+AO218*0.1+AP218*0.07+AR218*0.05,3),IF(E218="PE",ROUND(AJ218*0.15+AK218*0.23+AL218*0.15+AM218*0.15+AN218*0.08+AO218*0.1+AQ218*0.09+AR218*0.05,3),""))</f>
        <v/>
      </c>
      <c r="AT218" s="6">
        <f>IFERROR(ROUND(AS218/(AH218+0.0001),3),"")</f>
        <v/>
      </c>
      <c r="AU218" s="6">
        <f>IFERROR(ROUND(AS218/(AI218/1000),3),"")</f>
        <v/>
      </c>
    </row>
    <row r="219">
      <c r="AS219" s="6">
        <f>IF(E219="FE",ROUND(AJ219*0.15+AK219*0.23+AL219*0.15+AM219*0.15+AN219*0.1+AO219*0.1+AP219*0.07+AR219*0.05,3),IF(E219="PE",ROUND(AJ219*0.15+AK219*0.23+AL219*0.15+AM219*0.15+AN219*0.08+AO219*0.1+AQ219*0.09+AR219*0.05,3),""))</f>
        <v/>
      </c>
      <c r="AT219" s="6">
        <f>IFERROR(ROUND(AS219/(AH219+0.0001),3),"")</f>
        <v/>
      </c>
      <c r="AU219" s="6">
        <f>IFERROR(ROUND(AS219/(AI219/1000),3),"")</f>
        <v/>
      </c>
    </row>
    <row r="220">
      <c r="AS220" s="6">
        <f>IF(E220="FE",ROUND(AJ220*0.15+AK220*0.23+AL220*0.15+AM220*0.15+AN220*0.1+AO220*0.1+AP220*0.07+AR220*0.05,3),IF(E220="PE",ROUND(AJ220*0.15+AK220*0.23+AL220*0.15+AM220*0.15+AN220*0.08+AO220*0.1+AQ220*0.09+AR220*0.05,3),""))</f>
        <v/>
      </c>
      <c r="AT220" s="6">
        <f>IFERROR(ROUND(AS220/(AH220+0.0001),3),"")</f>
        <v/>
      </c>
      <c r="AU220" s="6">
        <f>IFERROR(ROUND(AS220/(AI220/1000),3),"")</f>
        <v/>
      </c>
    </row>
    <row r="221">
      <c r="AS221" s="6">
        <f>IF(E221="FE",ROUND(AJ221*0.15+AK221*0.23+AL221*0.15+AM221*0.15+AN221*0.1+AO221*0.1+AP221*0.07+AR221*0.05,3),IF(E221="PE",ROUND(AJ221*0.15+AK221*0.23+AL221*0.15+AM221*0.15+AN221*0.08+AO221*0.1+AQ221*0.09+AR221*0.05,3),""))</f>
        <v/>
      </c>
      <c r="AT221" s="6">
        <f>IFERROR(ROUND(AS221/(AH221+0.0001),3),"")</f>
        <v/>
      </c>
      <c r="AU221" s="6">
        <f>IFERROR(ROUND(AS221/(AI221/1000),3),"")</f>
        <v/>
      </c>
    </row>
    <row r="222">
      <c r="AS222" s="6">
        <f>IF(E222="FE",ROUND(AJ222*0.15+AK222*0.23+AL222*0.15+AM222*0.15+AN222*0.1+AO222*0.1+AP222*0.07+AR222*0.05,3),IF(E222="PE",ROUND(AJ222*0.15+AK222*0.23+AL222*0.15+AM222*0.15+AN222*0.08+AO222*0.1+AQ222*0.09+AR222*0.05,3),""))</f>
        <v/>
      </c>
      <c r="AT222" s="6">
        <f>IFERROR(ROUND(AS222/(AH222+0.0001),3),"")</f>
        <v/>
      </c>
      <c r="AU222" s="6">
        <f>IFERROR(ROUND(AS222/(AI222/1000),3),"")</f>
        <v/>
      </c>
    </row>
    <row r="223">
      <c r="AS223" s="6">
        <f>IF(E223="FE",ROUND(AJ223*0.15+AK223*0.23+AL223*0.15+AM223*0.15+AN223*0.1+AO223*0.1+AP223*0.07+AR223*0.05,3),IF(E223="PE",ROUND(AJ223*0.15+AK223*0.23+AL223*0.15+AM223*0.15+AN223*0.08+AO223*0.1+AQ223*0.09+AR223*0.05,3),""))</f>
        <v/>
      </c>
      <c r="AT223" s="6">
        <f>IFERROR(ROUND(AS223/(AH223+0.0001),3),"")</f>
        <v/>
      </c>
      <c r="AU223" s="6">
        <f>IFERROR(ROUND(AS223/(AI223/1000),3),"")</f>
        <v/>
      </c>
    </row>
    <row r="224">
      <c r="AS224" s="6">
        <f>IF(E224="FE",ROUND(AJ224*0.15+AK224*0.23+AL224*0.15+AM224*0.15+AN224*0.1+AO224*0.1+AP224*0.07+AR224*0.05,3),IF(E224="PE",ROUND(AJ224*0.15+AK224*0.23+AL224*0.15+AM224*0.15+AN224*0.08+AO224*0.1+AQ224*0.09+AR224*0.05,3),""))</f>
        <v/>
      </c>
      <c r="AT224" s="6">
        <f>IFERROR(ROUND(AS224/(AH224+0.0001),3),"")</f>
        <v/>
      </c>
      <c r="AU224" s="6">
        <f>IFERROR(ROUND(AS224/(AI224/1000),3),"")</f>
        <v/>
      </c>
    </row>
    <row r="225">
      <c r="AS225" s="6">
        <f>IF(E225="FE",ROUND(AJ225*0.15+AK225*0.23+AL225*0.15+AM225*0.15+AN225*0.1+AO225*0.1+AP225*0.07+AR225*0.05,3),IF(E225="PE",ROUND(AJ225*0.15+AK225*0.23+AL225*0.15+AM225*0.15+AN225*0.08+AO225*0.1+AQ225*0.09+AR225*0.05,3),""))</f>
        <v/>
      </c>
      <c r="AT225" s="6">
        <f>IFERROR(ROUND(AS225/(AH225+0.0001),3),"")</f>
        <v/>
      </c>
      <c r="AU225" s="6">
        <f>IFERROR(ROUND(AS225/(AI225/1000),3),"")</f>
        <v/>
      </c>
    </row>
    <row r="226">
      <c r="AS226" s="6">
        <f>IF(E226="FE",ROUND(AJ226*0.15+AK226*0.23+AL226*0.15+AM226*0.15+AN226*0.1+AO226*0.1+AP226*0.07+AR226*0.05,3),IF(E226="PE",ROUND(AJ226*0.15+AK226*0.23+AL226*0.15+AM226*0.15+AN226*0.08+AO226*0.1+AQ226*0.09+AR226*0.05,3),""))</f>
        <v/>
      </c>
      <c r="AT226" s="6">
        <f>IFERROR(ROUND(AS226/(AH226+0.0001),3),"")</f>
        <v/>
      </c>
      <c r="AU226" s="6">
        <f>IFERROR(ROUND(AS226/(AI226/1000),3),"")</f>
        <v/>
      </c>
    </row>
    <row r="227">
      <c r="AS227" s="6">
        <f>IF(E227="FE",ROUND(AJ227*0.15+AK227*0.23+AL227*0.15+AM227*0.15+AN227*0.1+AO227*0.1+AP227*0.07+AR227*0.05,3),IF(E227="PE",ROUND(AJ227*0.15+AK227*0.23+AL227*0.15+AM227*0.15+AN227*0.08+AO227*0.1+AQ227*0.09+AR227*0.05,3),""))</f>
        <v/>
      </c>
      <c r="AT227" s="6">
        <f>IFERROR(ROUND(AS227/(AH227+0.0001),3),"")</f>
        <v/>
      </c>
      <c r="AU227" s="6">
        <f>IFERROR(ROUND(AS227/(AI227/1000),3),"")</f>
        <v/>
      </c>
    </row>
    <row r="228">
      <c r="AS228" s="6">
        <f>IF(E228="FE",ROUND(AJ228*0.15+AK228*0.23+AL228*0.15+AM228*0.15+AN228*0.1+AO228*0.1+AP228*0.07+AR228*0.05,3),IF(E228="PE",ROUND(AJ228*0.15+AK228*0.23+AL228*0.15+AM228*0.15+AN228*0.08+AO228*0.1+AQ228*0.09+AR228*0.05,3),""))</f>
        <v/>
      </c>
      <c r="AT228" s="6">
        <f>IFERROR(ROUND(AS228/(AH228+0.0001),3),"")</f>
        <v/>
      </c>
      <c r="AU228" s="6">
        <f>IFERROR(ROUND(AS228/(AI228/1000),3),"")</f>
        <v/>
      </c>
    </row>
    <row r="229">
      <c r="AS229" s="6">
        <f>IF(E229="FE",ROUND(AJ229*0.15+AK229*0.23+AL229*0.15+AM229*0.15+AN229*0.1+AO229*0.1+AP229*0.07+AR229*0.05,3),IF(E229="PE",ROUND(AJ229*0.15+AK229*0.23+AL229*0.15+AM229*0.15+AN229*0.08+AO229*0.1+AQ229*0.09+AR229*0.05,3),""))</f>
        <v/>
      </c>
      <c r="AT229" s="6">
        <f>IFERROR(ROUND(AS229/(AH229+0.0001),3),"")</f>
        <v/>
      </c>
      <c r="AU229" s="6">
        <f>IFERROR(ROUND(AS229/(AI229/1000),3),"")</f>
        <v/>
      </c>
    </row>
    <row r="230">
      <c r="AS230" s="6">
        <f>IF(E230="FE",ROUND(AJ230*0.15+AK230*0.23+AL230*0.15+AM230*0.15+AN230*0.1+AO230*0.1+AP230*0.07+AR230*0.05,3),IF(E230="PE",ROUND(AJ230*0.15+AK230*0.23+AL230*0.15+AM230*0.15+AN230*0.08+AO230*0.1+AQ230*0.09+AR230*0.05,3),""))</f>
        <v/>
      </c>
      <c r="AT230" s="6">
        <f>IFERROR(ROUND(AS230/(AH230+0.0001),3),"")</f>
        <v/>
      </c>
      <c r="AU230" s="6">
        <f>IFERROR(ROUND(AS230/(AI230/1000),3),"")</f>
        <v/>
      </c>
    </row>
    <row r="231">
      <c r="AS231" s="6">
        <f>IF(E231="FE",ROUND(AJ231*0.15+AK231*0.23+AL231*0.15+AM231*0.15+AN231*0.1+AO231*0.1+AP231*0.07+AR231*0.05,3),IF(E231="PE",ROUND(AJ231*0.15+AK231*0.23+AL231*0.15+AM231*0.15+AN231*0.08+AO231*0.1+AQ231*0.09+AR231*0.05,3),""))</f>
        <v/>
      </c>
      <c r="AT231" s="6">
        <f>IFERROR(ROUND(AS231/(AH231+0.0001),3),"")</f>
        <v/>
      </c>
      <c r="AU231" s="6">
        <f>IFERROR(ROUND(AS231/(AI231/1000),3),"")</f>
        <v/>
      </c>
    </row>
    <row r="232">
      <c r="AS232" s="6">
        <f>IF(E232="FE",ROUND(AJ232*0.15+AK232*0.23+AL232*0.15+AM232*0.15+AN232*0.1+AO232*0.1+AP232*0.07+AR232*0.05,3),IF(E232="PE",ROUND(AJ232*0.15+AK232*0.23+AL232*0.15+AM232*0.15+AN232*0.08+AO232*0.1+AQ232*0.09+AR232*0.05,3),""))</f>
        <v/>
      </c>
      <c r="AT232" s="6">
        <f>IFERROR(ROUND(AS232/(AH232+0.0001),3),"")</f>
        <v/>
      </c>
      <c r="AU232" s="6">
        <f>IFERROR(ROUND(AS232/(AI232/1000),3),"")</f>
        <v/>
      </c>
    </row>
    <row r="233">
      <c r="AS233" s="6">
        <f>IF(E233="FE",ROUND(AJ233*0.15+AK233*0.23+AL233*0.15+AM233*0.15+AN233*0.1+AO233*0.1+AP233*0.07+AR233*0.05,3),IF(E233="PE",ROUND(AJ233*0.15+AK233*0.23+AL233*0.15+AM233*0.15+AN233*0.08+AO233*0.1+AQ233*0.09+AR233*0.05,3),""))</f>
        <v/>
      </c>
      <c r="AT233" s="6">
        <f>IFERROR(ROUND(AS233/(AH233+0.0001),3),"")</f>
        <v/>
      </c>
      <c r="AU233" s="6">
        <f>IFERROR(ROUND(AS233/(AI233/1000),3),"")</f>
        <v/>
      </c>
    </row>
    <row r="234">
      <c r="AS234" s="6">
        <f>IF(E234="FE",ROUND(AJ234*0.15+AK234*0.23+AL234*0.15+AM234*0.15+AN234*0.1+AO234*0.1+AP234*0.07+AR234*0.05,3),IF(E234="PE",ROUND(AJ234*0.15+AK234*0.23+AL234*0.15+AM234*0.15+AN234*0.08+AO234*0.1+AQ234*0.09+AR234*0.05,3),""))</f>
        <v/>
      </c>
      <c r="AT234" s="6">
        <f>IFERROR(ROUND(AS234/(AH234+0.0001),3),"")</f>
        <v/>
      </c>
      <c r="AU234" s="6">
        <f>IFERROR(ROUND(AS234/(AI234/1000),3),"")</f>
        <v/>
      </c>
    </row>
    <row r="235">
      <c r="AS235" s="6">
        <f>IF(E235="FE",ROUND(AJ235*0.15+AK235*0.23+AL235*0.15+AM235*0.15+AN235*0.1+AO235*0.1+AP235*0.07+AR235*0.05,3),IF(E235="PE",ROUND(AJ235*0.15+AK235*0.23+AL235*0.15+AM235*0.15+AN235*0.08+AO235*0.1+AQ235*0.09+AR235*0.05,3),""))</f>
        <v/>
      </c>
      <c r="AT235" s="6">
        <f>IFERROR(ROUND(AS235/(AH235+0.0001),3),"")</f>
        <v/>
      </c>
      <c r="AU235" s="6">
        <f>IFERROR(ROUND(AS235/(AI235/1000),3),"")</f>
        <v/>
      </c>
    </row>
    <row r="236">
      <c r="AS236" s="6">
        <f>IF(E236="FE",ROUND(AJ236*0.15+AK236*0.23+AL236*0.15+AM236*0.15+AN236*0.1+AO236*0.1+AP236*0.07+AR236*0.05,3),IF(E236="PE",ROUND(AJ236*0.15+AK236*0.23+AL236*0.15+AM236*0.15+AN236*0.08+AO236*0.1+AQ236*0.09+AR236*0.05,3),""))</f>
        <v/>
      </c>
      <c r="AT236" s="6">
        <f>IFERROR(ROUND(AS236/(AH236+0.0001),3),"")</f>
        <v/>
      </c>
      <c r="AU236" s="6">
        <f>IFERROR(ROUND(AS236/(AI236/1000),3),"")</f>
        <v/>
      </c>
    </row>
    <row r="237">
      <c r="AS237" s="6">
        <f>IF(E237="FE",ROUND(AJ237*0.15+AK237*0.23+AL237*0.15+AM237*0.15+AN237*0.1+AO237*0.1+AP237*0.07+AR237*0.05,3),IF(E237="PE",ROUND(AJ237*0.15+AK237*0.23+AL237*0.15+AM237*0.15+AN237*0.08+AO237*0.1+AQ237*0.09+AR237*0.05,3),""))</f>
        <v/>
      </c>
      <c r="AT237" s="6">
        <f>IFERROR(ROUND(AS237/(AH237+0.0001),3),"")</f>
        <v/>
      </c>
      <c r="AU237" s="6">
        <f>IFERROR(ROUND(AS237/(AI237/1000),3),"")</f>
        <v/>
      </c>
    </row>
    <row r="238">
      <c r="AS238" s="6">
        <f>IF(E238="FE",ROUND(AJ238*0.15+AK238*0.23+AL238*0.15+AM238*0.15+AN238*0.1+AO238*0.1+AP238*0.07+AR238*0.05,3),IF(E238="PE",ROUND(AJ238*0.15+AK238*0.23+AL238*0.15+AM238*0.15+AN238*0.08+AO238*0.1+AQ238*0.09+AR238*0.05,3),""))</f>
        <v/>
      </c>
      <c r="AT238" s="6">
        <f>IFERROR(ROUND(AS238/(AH238+0.0001),3),"")</f>
        <v/>
      </c>
      <c r="AU238" s="6">
        <f>IFERROR(ROUND(AS238/(AI238/1000),3),"")</f>
        <v/>
      </c>
    </row>
    <row r="239">
      <c r="AS239" s="6">
        <f>IF(E239="FE",ROUND(AJ239*0.15+AK239*0.23+AL239*0.15+AM239*0.15+AN239*0.1+AO239*0.1+AP239*0.07+AR239*0.05,3),IF(E239="PE",ROUND(AJ239*0.15+AK239*0.23+AL239*0.15+AM239*0.15+AN239*0.08+AO239*0.1+AQ239*0.09+AR239*0.05,3),""))</f>
        <v/>
      </c>
      <c r="AT239" s="6">
        <f>IFERROR(ROUND(AS239/(AH239+0.0001),3),"")</f>
        <v/>
      </c>
      <c r="AU239" s="6">
        <f>IFERROR(ROUND(AS239/(AI239/1000),3),"")</f>
        <v/>
      </c>
    </row>
    <row r="240">
      <c r="AS240" s="6">
        <f>IF(E240="FE",ROUND(AJ240*0.15+AK240*0.23+AL240*0.15+AM240*0.15+AN240*0.1+AO240*0.1+AP240*0.07+AR240*0.05,3),IF(E240="PE",ROUND(AJ240*0.15+AK240*0.23+AL240*0.15+AM240*0.15+AN240*0.08+AO240*0.1+AQ240*0.09+AR240*0.05,3),""))</f>
        <v/>
      </c>
      <c r="AT240" s="6">
        <f>IFERROR(ROUND(AS240/(AH240+0.0001),3),"")</f>
        <v/>
      </c>
      <c r="AU240" s="6">
        <f>IFERROR(ROUND(AS240/(AI240/1000),3),"")</f>
        <v/>
      </c>
    </row>
    <row r="241">
      <c r="AS241" s="6">
        <f>IF(E241="FE",ROUND(AJ241*0.15+AK241*0.23+AL241*0.15+AM241*0.15+AN241*0.1+AO241*0.1+AP241*0.07+AR241*0.05,3),IF(E241="PE",ROUND(AJ241*0.15+AK241*0.23+AL241*0.15+AM241*0.15+AN241*0.08+AO241*0.1+AQ241*0.09+AR241*0.05,3),""))</f>
        <v/>
      </c>
      <c r="AT241" s="6">
        <f>IFERROR(ROUND(AS241/(AH241+0.0001),3),"")</f>
        <v/>
      </c>
      <c r="AU241" s="6">
        <f>IFERROR(ROUND(AS241/(AI241/1000),3),"")</f>
        <v/>
      </c>
    </row>
    <row r="242">
      <c r="AS242" s="6">
        <f>IF(E242="FE",ROUND(AJ242*0.15+AK242*0.23+AL242*0.15+AM242*0.15+AN242*0.1+AO242*0.1+AP242*0.07+AR242*0.05,3),IF(E242="PE",ROUND(AJ242*0.15+AK242*0.23+AL242*0.15+AM242*0.15+AN242*0.08+AO242*0.1+AQ242*0.09+AR242*0.05,3),""))</f>
        <v/>
      </c>
      <c r="AT242" s="6">
        <f>IFERROR(ROUND(AS242/(AH242+0.0001),3),"")</f>
        <v/>
      </c>
      <c r="AU242" s="6">
        <f>IFERROR(ROUND(AS242/(AI242/1000),3),"")</f>
        <v/>
      </c>
    </row>
    <row r="243">
      <c r="AS243" s="6">
        <f>IF(E243="FE",ROUND(AJ243*0.15+AK243*0.23+AL243*0.15+AM243*0.15+AN243*0.1+AO243*0.1+AP243*0.07+AR243*0.05,3),IF(E243="PE",ROUND(AJ243*0.15+AK243*0.23+AL243*0.15+AM243*0.15+AN243*0.08+AO243*0.1+AQ243*0.09+AR243*0.05,3),""))</f>
        <v/>
      </c>
      <c r="AT243" s="6">
        <f>IFERROR(ROUND(AS243/(AH243+0.0001),3),"")</f>
        <v/>
      </c>
      <c r="AU243" s="6">
        <f>IFERROR(ROUND(AS243/(AI243/1000),3),"")</f>
        <v/>
      </c>
    </row>
    <row r="244">
      <c r="AS244" s="6">
        <f>IF(E244="FE",ROUND(AJ244*0.15+AK244*0.23+AL244*0.15+AM244*0.15+AN244*0.1+AO244*0.1+AP244*0.07+AR244*0.05,3),IF(E244="PE",ROUND(AJ244*0.15+AK244*0.23+AL244*0.15+AM244*0.15+AN244*0.08+AO244*0.1+AQ244*0.09+AR244*0.05,3),""))</f>
        <v/>
      </c>
      <c r="AT244" s="6">
        <f>IFERROR(ROUND(AS244/(AH244+0.0001),3),"")</f>
        <v/>
      </c>
      <c r="AU244" s="6">
        <f>IFERROR(ROUND(AS244/(AI244/1000),3),"")</f>
        <v/>
      </c>
    </row>
    <row r="245">
      <c r="AS245" s="6">
        <f>IF(E245="FE",ROUND(AJ245*0.15+AK245*0.23+AL245*0.15+AM245*0.15+AN245*0.1+AO245*0.1+AP245*0.07+AR245*0.05,3),IF(E245="PE",ROUND(AJ245*0.15+AK245*0.23+AL245*0.15+AM245*0.15+AN245*0.08+AO245*0.1+AQ245*0.09+AR245*0.05,3),""))</f>
        <v/>
      </c>
      <c r="AT245" s="6">
        <f>IFERROR(ROUND(AS245/(AH245+0.0001),3),"")</f>
        <v/>
      </c>
      <c r="AU245" s="6">
        <f>IFERROR(ROUND(AS245/(AI245/1000),3),"")</f>
        <v/>
      </c>
    </row>
    <row r="246">
      <c r="AS246" s="6">
        <f>IF(E246="FE",ROUND(AJ246*0.15+AK246*0.23+AL246*0.15+AM246*0.15+AN246*0.1+AO246*0.1+AP246*0.07+AR246*0.05,3),IF(E246="PE",ROUND(AJ246*0.15+AK246*0.23+AL246*0.15+AM246*0.15+AN246*0.08+AO246*0.1+AQ246*0.09+AR246*0.05,3),""))</f>
        <v/>
      </c>
      <c r="AT246" s="6">
        <f>IFERROR(ROUND(AS246/(AH246+0.0001),3),"")</f>
        <v/>
      </c>
      <c r="AU246" s="6">
        <f>IFERROR(ROUND(AS246/(AI246/1000),3),"")</f>
        <v/>
      </c>
    </row>
    <row r="247">
      <c r="AS247" s="6">
        <f>IF(E247="FE",ROUND(AJ247*0.15+AK247*0.23+AL247*0.15+AM247*0.15+AN247*0.1+AO247*0.1+AP247*0.07+AR247*0.05,3),IF(E247="PE",ROUND(AJ247*0.15+AK247*0.23+AL247*0.15+AM247*0.15+AN247*0.08+AO247*0.1+AQ247*0.09+AR247*0.05,3),""))</f>
        <v/>
      </c>
      <c r="AT247" s="6">
        <f>IFERROR(ROUND(AS247/(AH247+0.0001),3),"")</f>
        <v/>
      </c>
      <c r="AU247" s="6">
        <f>IFERROR(ROUND(AS247/(AI247/1000),3),"")</f>
        <v/>
      </c>
    </row>
    <row r="248">
      <c r="AS248" s="6">
        <f>IF(E248="FE",ROUND(AJ248*0.15+AK248*0.23+AL248*0.15+AM248*0.15+AN248*0.1+AO248*0.1+AP248*0.07+AR248*0.05,3),IF(E248="PE",ROUND(AJ248*0.15+AK248*0.23+AL248*0.15+AM248*0.15+AN248*0.08+AO248*0.1+AQ248*0.09+AR248*0.05,3),""))</f>
        <v/>
      </c>
      <c r="AT248" s="6">
        <f>IFERROR(ROUND(AS248/(AH248+0.0001),3),"")</f>
        <v/>
      </c>
      <c r="AU248" s="6">
        <f>IFERROR(ROUND(AS248/(AI248/1000),3),"")</f>
        <v/>
      </c>
    </row>
    <row r="249">
      <c r="AS249" s="6">
        <f>IF(E249="FE",ROUND(AJ249*0.15+AK249*0.23+AL249*0.15+AM249*0.15+AN249*0.1+AO249*0.1+AP249*0.07+AR249*0.05,3),IF(E249="PE",ROUND(AJ249*0.15+AK249*0.23+AL249*0.15+AM249*0.15+AN249*0.08+AO249*0.1+AQ249*0.09+AR249*0.05,3),""))</f>
        <v/>
      </c>
      <c r="AT249" s="6">
        <f>IFERROR(ROUND(AS249/(AH249+0.0001),3),"")</f>
        <v/>
      </c>
      <c r="AU249" s="6">
        <f>IFERROR(ROUND(AS249/(AI249/1000),3),"")</f>
        <v/>
      </c>
    </row>
    <row r="250">
      <c r="AS250" s="6">
        <f>IF(E250="FE",ROUND(AJ250*0.15+AK250*0.23+AL250*0.15+AM250*0.15+AN250*0.1+AO250*0.1+AP250*0.07+AR250*0.05,3),IF(E250="PE",ROUND(AJ250*0.15+AK250*0.23+AL250*0.15+AM250*0.15+AN250*0.08+AO250*0.1+AQ250*0.09+AR250*0.05,3),""))</f>
        <v/>
      </c>
      <c r="AT250" s="6">
        <f>IFERROR(ROUND(AS250/(AH250+0.0001),3),"")</f>
        <v/>
      </c>
      <c r="AU250" s="6">
        <f>IFERROR(ROUND(AS250/(AI250/1000),3),"")</f>
        <v/>
      </c>
    </row>
    <row r="251">
      <c r="AS251" s="6">
        <f>IF(E251="FE",ROUND(AJ251*0.15+AK251*0.23+AL251*0.15+AM251*0.15+AN251*0.1+AO251*0.1+AP251*0.07+AR251*0.05,3),IF(E251="PE",ROUND(AJ251*0.15+AK251*0.23+AL251*0.15+AM251*0.15+AN251*0.08+AO251*0.1+AQ251*0.09+AR251*0.05,3),""))</f>
        <v/>
      </c>
      <c r="AT251" s="6">
        <f>IFERROR(ROUND(AS251/(AH251+0.0001),3),"")</f>
        <v/>
      </c>
      <c r="AU251" s="6">
        <f>IFERROR(ROUND(AS251/(AI251/1000),3),"")</f>
        <v/>
      </c>
    </row>
    <row r="252">
      <c r="AS252" s="6">
        <f>IF(E252="FE",ROUND(AJ252*0.15+AK252*0.23+AL252*0.15+AM252*0.15+AN252*0.1+AO252*0.1+AP252*0.07+AR252*0.05,3),IF(E252="PE",ROUND(AJ252*0.15+AK252*0.23+AL252*0.15+AM252*0.15+AN252*0.08+AO252*0.1+AQ252*0.09+AR252*0.05,3),""))</f>
        <v/>
      </c>
      <c r="AT252" s="6">
        <f>IFERROR(ROUND(AS252/(AH252+0.0001),3),"")</f>
        <v/>
      </c>
      <c r="AU252" s="6">
        <f>IFERROR(ROUND(AS252/(AI252/1000),3),"")</f>
        <v/>
      </c>
    </row>
    <row r="253">
      <c r="AS253" s="6">
        <f>IF(E253="FE",ROUND(AJ253*0.15+AK253*0.23+AL253*0.15+AM253*0.15+AN253*0.1+AO253*0.1+AP253*0.07+AR253*0.05,3),IF(E253="PE",ROUND(AJ253*0.15+AK253*0.23+AL253*0.15+AM253*0.15+AN253*0.08+AO253*0.1+AQ253*0.09+AR253*0.05,3),""))</f>
        <v/>
      </c>
      <c r="AT253" s="6">
        <f>IFERROR(ROUND(AS253/(AH253+0.0001),3),"")</f>
        <v/>
      </c>
      <c r="AU253" s="6">
        <f>IFERROR(ROUND(AS253/(AI253/1000),3),"")</f>
        <v/>
      </c>
    </row>
    <row r="254">
      <c r="AS254" s="6">
        <f>IF(E254="FE",ROUND(AJ254*0.15+AK254*0.23+AL254*0.15+AM254*0.15+AN254*0.1+AO254*0.1+AP254*0.07+AR254*0.05,3),IF(E254="PE",ROUND(AJ254*0.15+AK254*0.23+AL254*0.15+AM254*0.15+AN254*0.08+AO254*0.1+AQ254*0.09+AR254*0.05,3),""))</f>
        <v/>
      </c>
      <c r="AT254" s="6">
        <f>IFERROR(ROUND(AS254/(AH254+0.0001),3),"")</f>
        <v/>
      </c>
      <c r="AU254" s="6">
        <f>IFERROR(ROUND(AS254/(AI254/1000),3),"")</f>
        <v/>
      </c>
    </row>
    <row r="255">
      <c r="AS255" s="6">
        <f>IF(E255="FE",ROUND(AJ255*0.15+AK255*0.23+AL255*0.15+AM255*0.15+AN255*0.1+AO255*0.1+AP255*0.07+AR255*0.05,3),IF(E255="PE",ROUND(AJ255*0.15+AK255*0.23+AL255*0.15+AM255*0.15+AN255*0.08+AO255*0.1+AQ255*0.09+AR255*0.05,3),""))</f>
        <v/>
      </c>
      <c r="AT255" s="6">
        <f>IFERROR(ROUND(AS255/(AH255+0.0001),3),"")</f>
        <v/>
      </c>
      <c r="AU255" s="6">
        <f>IFERROR(ROUND(AS255/(AI255/1000),3),"")</f>
        <v/>
      </c>
    </row>
    <row r="256">
      <c r="AS256" s="6">
        <f>IF(E256="FE",ROUND(AJ256*0.15+AK256*0.23+AL256*0.15+AM256*0.15+AN256*0.1+AO256*0.1+AP256*0.07+AR256*0.05,3),IF(E256="PE",ROUND(AJ256*0.15+AK256*0.23+AL256*0.15+AM256*0.15+AN256*0.08+AO256*0.1+AQ256*0.09+AR256*0.05,3),""))</f>
        <v/>
      </c>
      <c r="AT256" s="6">
        <f>IFERROR(ROUND(AS256/(AH256+0.0001),3),"")</f>
        <v/>
      </c>
      <c r="AU256" s="6">
        <f>IFERROR(ROUND(AS256/(AI256/1000),3),"")</f>
        <v/>
      </c>
    </row>
    <row r="257">
      <c r="AS257" s="6">
        <f>IF(E257="FE",ROUND(AJ257*0.15+AK257*0.23+AL257*0.15+AM257*0.15+AN257*0.1+AO257*0.1+AP257*0.07+AR257*0.05,3),IF(E257="PE",ROUND(AJ257*0.15+AK257*0.23+AL257*0.15+AM257*0.15+AN257*0.08+AO257*0.1+AQ257*0.09+AR257*0.05,3),""))</f>
        <v/>
      </c>
      <c r="AT257" s="6">
        <f>IFERROR(ROUND(AS257/(AH257+0.0001),3),"")</f>
        <v/>
      </c>
      <c r="AU257" s="6">
        <f>IFERROR(ROUND(AS257/(AI257/1000),3),"")</f>
        <v/>
      </c>
    </row>
    <row r="258">
      <c r="AS258" s="6">
        <f>IF(E258="FE",ROUND(AJ258*0.15+AK258*0.23+AL258*0.15+AM258*0.15+AN258*0.1+AO258*0.1+AP258*0.07+AR258*0.05,3),IF(E258="PE",ROUND(AJ258*0.15+AK258*0.23+AL258*0.15+AM258*0.15+AN258*0.08+AO258*0.1+AQ258*0.09+AR258*0.05,3),""))</f>
        <v/>
      </c>
      <c r="AT258" s="6">
        <f>IFERROR(ROUND(AS258/(AH258+0.0001),3),"")</f>
        <v/>
      </c>
      <c r="AU258" s="6">
        <f>IFERROR(ROUND(AS258/(AI258/1000),3),"")</f>
        <v/>
      </c>
    </row>
    <row r="259">
      <c r="AS259" s="6">
        <f>IF(E259="FE",ROUND(AJ259*0.15+AK259*0.23+AL259*0.15+AM259*0.15+AN259*0.1+AO259*0.1+AP259*0.07+AR259*0.05,3),IF(E259="PE",ROUND(AJ259*0.15+AK259*0.23+AL259*0.15+AM259*0.15+AN259*0.08+AO259*0.1+AQ259*0.09+AR259*0.05,3),""))</f>
        <v/>
      </c>
      <c r="AT259" s="6">
        <f>IFERROR(ROUND(AS259/(AH259+0.0001),3),"")</f>
        <v/>
      </c>
      <c r="AU259" s="6">
        <f>IFERROR(ROUND(AS259/(AI259/1000),3),"")</f>
        <v/>
      </c>
    </row>
    <row r="260">
      <c r="AS260" s="6">
        <f>IF(E260="FE",ROUND(AJ260*0.15+AK260*0.23+AL260*0.15+AM260*0.15+AN260*0.1+AO260*0.1+AP260*0.07+AR260*0.05,3),IF(E260="PE",ROUND(AJ260*0.15+AK260*0.23+AL260*0.15+AM260*0.15+AN260*0.08+AO260*0.1+AQ260*0.09+AR260*0.05,3),""))</f>
        <v/>
      </c>
      <c r="AT260" s="6">
        <f>IFERROR(ROUND(AS260/(AH260+0.0001),3),"")</f>
        <v/>
      </c>
      <c r="AU260" s="6">
        <f>IFERROR(ROUND(AS260/(AI260/1000),3),"")</f>
        <v/>
      </c>
    </row>
    <row r="261">
      <c r="AS261" s="6">
        <f>IF(E261="FE",ROUND(AJ261*0.15+AK261*0.23+AL261*0.15+AM261*0.15+AN261*0.1+AO261*0.1+AP261*0.07+AR261*0.05,3),IF(E261="PE",ROUND(AJ261*0.15+AK261*0.23+AL261*0.15+AM261*0.15+AN261*0.08+AO261*0.1+AQ261*0.09+AR261*0.05,3),""))</f>
        <v/>
      </c>
      <c r="AT261" s="6">
        <f>IFERROR(ROUND(AS261/(AH261+0.0001),3),"")</f>
        <v/>
      </c>
      <c r="AU261" s="6">
        <f>IFERROR(ROUND(AS261/(AI261/1000),3),"")</f>
        <v/>
      </c>
    </row>
    <row r="262">
      <c r="AS262" s="6">
        <f>IF(E262="FE",ROUND(AJ262*0.15+AK262*0.23+AL262*0.15+AM262*0.15+AN262*0.1+AO262*0.1+AP262*0.07+AR262*0.05,3),IF(E262="PE",ROUND(AJ262*0.15+AK262*0.23+AL262*0.15+AM262*0.15+AN262*0.08+AO262*0.1+AQ262*0.09+AR262*0.05,3),""))</f>
        <v/>
      </c>
      <c r="AT262" s="6">
        <f>IFERROR(ROUND(AS262/(AH262+0.0001),3),"")</f>
        <v/>
      </c>
      <c r="AU262" s="6">
        <f>IFERROR(ROUND(AS262/(AI262/1000),3),"")</f>
        <v/>
      </c>
    </row>
    <row r="263">
      <c r="AS263" s="6">
        <f>IF(E263="FE",ROUND(AJ263*0.15+AK263*0.23+AL263*0.15+AM263*0.15+AN263*0.1+AO263*0.1+AP263*0.07+AR263*0.05,3),IF(E263="PE",ROUND(AJ263*0.15+AK263*0.23+AL263*0.15+AM263*0.15+AN263*0.08+AO263*0.1+AQ263*0.09+AR263*0.05,3),""))</f>
        <v/>
      </c>
      <c r="AT263" s="6">
        <f>IFERROR(ROUND(AS263/(AH263+0.0001),3),"")</f>
        <v/>
      </c>
      <c r="AU263" s="6">
        <f>IFERROR(ROUND(AS263/(AI263/1000),3),"")</f>
        <v/>
      </c>
    </row>
    <row r="264">
      <c r="AS264" s="6">
        <f>IF(E264="FE",ROUND(AJ264*0.15+AK264*0.23+AL264*0.15+AM264*0.15+AN264*0.1+AO264*0.1+AP264*0.07+AR264*0.05,3),IF(E264="PE",ROUND(AJ264*0.15+AK264*0.23+AL264*0.15+AM264*0.15+AN264*0.08+AO264*0.1+AQ264*0.09+AR264*0.05,3),""))</f>
        <v/>
      </c>
      <c r="AT264" s="6">
        <f>IFERROR(ROUND(AS264/(AH264+0.0001),3),"")</f>
        <v/>
      </c>
      <c r="AU264" s="6">
        <f>IFERROR(ROUND(AS264/(AI264/1000),3),"")</f>
        <v/>
      </c>
    </row>
    <row r="265">
      <c r="AS265" s="6">
        <f>IF(E265="FE",ROUND(AJ265*0.15+AK265*0.23+AL265*0.15+AM265*0.15+AN265*0.1+AO265*0.1+AP265*0.07+AR265*0.05,3),IF(E265="PE",ROUND(AJ265*0.15+AK265*0.23+AL265*0.15+AM265*0.15+AN265*0.08+AO265*0.1+AQ265*0.09+AR265*0.05,3),""))</f>
        <v/>
      </c>
      <c r="AT265" s="6">
        <f>IFERROR(ROUND(AS265/(AH265+0.0001),3),"")</f>
        <v/>
      </c>
      <c r="AU265" s="6">
        <f>IFERROR(ROUND(AS265/(AI265/1000),3),"")</f>
        <v/>
      </c>
    </row>
    <row r="266">
      <c r="AS266" s="6">
        <f>IF(E266="FE",ROUND(AJ266*0.15+AK266*0.23+AL266*0.15+AM266*0.15+AN266*0.1+AO266*0.1+AP266*0.07+AR266*0.05,3),IF(E266="PE",ROUND(AJ266*0.15+AK266*0.23+AL266*0.15+AM266*0.15+AN266*0.08+AO266*0.1+AQ266*0.09+AR266*0.05,3),""))</f>
        <v/>
      </c>
      <c r="AT266" s="6">
        <f>IFERROR(ROUND(AS266/(AH266+0.0001),3),"")</f>
        <v/>
      </c>
      <c r="AU266" s="6">
        <f>IFERROR(ROUND(AS266/(AI266/1000),3),"")</f>
        <v/>
      </c>
    </row>
    <row r="267">
      <c r="AS267" s="6">
        <f>IF(E267="FE",ROUND(AJ267*0.15+AK267*0.23+AL267*0.15+AM267*0.15+AN267*0.1+AO267*0.1+AP267*0.07+AR267*0.05,3),IF(E267="PE",ROUND(AJ267*0.15+AK267*0.23+AL267*0.15+AM267*0.15+AN267*0.08+AO267*0.1+AQ267*0.09+AR267*0.05,3),""))</f>
        <v/>
      </c>
      <c r="AT267" s="6">
        <f>IFERROR(ROUND(AS267/(AH267+0.0001),3),"")</f>
        <v/>
      </c>
      <c r="AU267" s="6">
        <f>IFERROR(ROUND(AS267/(AI267/1000),3),"")</f>
        <v/>
      </c>
    </row>
    <row r="268">
      <c r="AS268" s="6">
        <f>IF(E268="FE",ROUND(AJ268*0.15+AK268*0.23+AL268*0.15+AM268*0.15+AN268*0.1+AO268*0.1+AP268*0.07+AR268*0.05,3),IF(E268="PE",ROUND(AJ268*0.15+AK268*0.23+AL268*0.15+AM268*0.15+AN268*0.08+AO268*0.1+AQ268*0.09+AR268*0.05,3),""))</f>
        <v/>
      </c>
      <c r="AT268" s="6">
        <f>IFERROR(ROUND(AS268/(AH268+0.0001),3),"")</f>
        <v/>
      </c>
      <c r="AU268" s="6">
        <f>IFERROR(ROUND(AS268/(AI268/1000),3),"")</f>
        <v/>
      </c>
    </row>
    <row r="269">
      <c r="AS269" s="6">
        <f>IF(E269="FE",ROUND(AJ269*0.15+AK269*0.23+AL269*0.15+AM269*0.15+AN269*0.1+AO269*0.1+AP269*0.07+AR269*0.05,3),IF(E269="PE",ROUND(AJ269*0.15+AK269*0.23+AL269*0.15+AM269*0.15+AN269*0.08+AO269*0.1+AQ269*0.09+AR269*0.05,3),""))</f>
        <v/>
      </c>
      <c r="AT269" s="6">
        <f>IFERROR(ROUND(AS269/(AH269+0.0001),3),"")</f>
        <v/>
      </c>
      <c r="AU269" s="6">
        <f>IFERROR(ROUND(AS269/(AI269/1000),3),"")</f>
        <v/>
      </c>
    </row>
    <row r="270">
      <c r="AS270" s="6">
        <f>IF(E270="FE",ROUND(AJ270*0.15+AK270*0.23+AL270*0.15+AM270*0.15+AN270*0.1+AO270*0.1+AP270*0.07+AR270*0.05,3),IF(E270="PE",ROUND(AJ270*0.15+AK270*0.23+AL270*0.15+AM270*0.15+AN270*0.08+AO270*0.1+AQ270*0.09+AR270*0.05,3),""))</f>
        <v/>
      </c>
      <c r="AT270" s="6">
        <f>IFERROR(ROUND(AS270/(AH270+0.0001),3),"")</f>
        <v/>
      </c>
      <c r="AU270" s="6">
        <f>IFERROR(ROUND(AS270/(AI270/1000),3),"")</f>
        <v/>
      </c>
    </row>
    <row r="271">
      <c r="AS271" s="6">
        <f>IF(E271="FE",ROUND(AJ271*0.15+AK271*0.23+AL271*0.15+AM271*0.15+AN271*0.1+AO271*0.1+AP271*0.07+AR271*0.05,3),IF(E271="PE",ROUND(AJ271*0.15+AK271*0.23+AL271*0.15+AM271*0.15+AN271*0.08+AO271*0.1+AQ271*0.09+AR271*0.05,3),""))</f>
        <v/>
      </c>
      <c r="AT271" s="6">
        <f>IFERROR(ROUND(AS271/(AH271+0.0001),3),"")</f>
        <v/>
      </c>
      <c r="AU271" s="6">
        <f>IFERROR(ROUND(AS271/(AI271/1000),3),"")</f>
        <v/>
      </c>
    </row>
    <row r="272">
      <c r="AS272" s="6">
        <f>IF(E272="FE",ROUND(AJ272*0.15+AK272*0.23+AL272*0.15+AM272*0.15+AN272*0.1+AO272*0.1+AP272*0.07+AR272*0.05,3),IF(E272="PE",ROUND(AJ272*0.15+AK272*0.23+AL272*0.15+AM272*0.15+AN272*0.08+AO272*0.1+AQ272*0.09+AR272*0.05,3),""))</f>
        <v/>
      </c>
      <c r="AT272" s="6">
        <f>IFERROR(ROUND(AS272/(AH272+0.0001),3),"")</f>
        <v/>
      </c>
      <c r="AU272" s="6">
        <f>IFERROR(ROUND(AS272/(AI272/1000),3),"")</f>
        <v/>
      </c>
    </row>
    <row r="273">
      <c r="AS273" s="6">
        <f>IF(E273="FE",ROUND(AJ273*0.15+AK273*0.23+AL273*0.15+AM273*0.15+AN273*0.1+AO273*0.1+AP273*0.07+AR273*0.05,3),IF(E273="PE",ROUND(AJ273*0.15+AK273*0.23+AL273*0.15+AM273*0.15+AN273*0.08+AO273*0.1+AQ273*0.09+AR273*0.05,3),""))</f>
        <v/>
      </c>
      <c r="AT273" s="6">
        <f>IFERROR(ROUND(AS273/(AH273+0.0001),3),"")</f>
        <v/>
      </c>
      <c r="AU273" s="6">
        <f>IFERROR(ROUND(AS273/(AI273/1000),3),"")</f>
        <v/>
      </c>
    </row>
    <row r="274">
      <c r="AS274" s="6">
        <f>IF(E274="FE",ROUND(AJ274*0.15+AK274*0.23+AL274*0.15+AM274*0.15+AN274*0.1+AO274*0.1+AP274*0.07+AR274*0.05,3),IF(E274="PE",ROUND(AJ274*0.15+AK274*0.23+AL274*0.15+AM274*0.15+AN274*0.08+AO274*0.1+AQ274*0.09+AR274*0.05,3),""))</f>
        <v/>
      </c>
      <c r="AT274" s="6">
        <f>IFERROR(ROUND(AS274/(AH274+0.0001),3),"")</f>
        <v/>
      </c>
      <c r="AU274" s="6">
        <f>IFERROR(ROUND(AS274/(AI274/1000),3),"")</f>
        <v/>
      </c>
    </row>
    <row r="275">
      <c r="AS275" s="6">
        <f>IF(E275="FE",ROUND(AJ275*0.15+AK275*0.23+AL275*0.15+AM275*0.15+AN275*0.1+AO275*0.1+AP275*0.07+AR275*0.05,3),IF(E275="PE",ROUND(AJ275*0.15+AK275*0.23+AL275*0.15+AM275*0.15+AN275*0.08+AO275*0.1+AQ275*0.09+AR275*0.05,3),""))</f>
        <v/>
      </c>
      <c r="AT275" s="6">
        <f>IFERROR(ROUND(AS275/(AH275+0.0001),3),"")</f>
        <v/>
      </c>
      <c r="AU275" s="6">
        <f>IFERROR(ROUND(AS275/(AI275/1000),3),"")</f>
        <v/>
      </c>
    </row>
    <row r="276">
      <c r="AS276" s="6">
        <f>IF(E276="FE",ROUND(AJ276*0.15+AK276*0.23+AL276*0.15+AM276*0.15+AN276*0.1+AO276*0.1+AP276*0.07+AR276*0.05,3),IF(E276="PE",ROUND(AJ276*0.15+AK276*0.23+AL276*0.15+AM276*0.15+AN276*0.08+AO276*0.1+AQ276*0.09+AR276*0.05,3),""))</f>
        <v/>
      </c>
      <c r="AT276" s="6">
        <f>IFERROR(ROUND(AS276/(AH276+0.0001),3),"")</f>
        <v/>
      </c>
      <c r="AU276" s="6">
        <f>IFERROR(ROUND(AS276/(AI276/1000),3),"")</f>
        <v/>
      </c>
    </row>
    <row r="277">
      <c r="AS277" s="6">
        <f>IF(E277="FE",ROUND(AJ277*0.15+AK277*0.23+AL277*0.15+AM277*0.15+AN277*0.1+AO277*0.1+AP277*0.07+AR277*0.05,3),IF(E277="PE",ROUND(AJ277*0.15+AK277*0.23+AL277*0.15+AM277*0.15+AN277*0.08+AO277*0.1+AQ277*0.09+AR277*0.05,3),""))</f>
        <v/>
      </c>
      <c r="AT277" s="6">
        <f>IFERROR(ROUND(AS277/(AH277+0.0001),3),"")</f>
        <v/>
      </c>
      <c r="AU277" s="6">
        <f>IFERROR(ROUND(AS277/(AI277/1000),3),"")</f>
        <v/>
      </c>
    </row>
    <row r="278">
      <c r="AS278" s="6">
        <f>IF(E278="FE",ROUND(AJ278*0.15+AK278*0.23+AL278*0.15+AM278*0.15+AN278*0.1+AO278*0.1+AP278*0.07+AR278*0.05,3),IF(E278="PE",ROUND(AJ278*0.15+AK278*0.23+AL278*0.15+AM278*0.15+AN278*0.08+AO278*0.1+AQ278*0.09+AR278*0.05,3),""))</f>
        <v/>
      </c>
      <c r="AT278" s="6">
        <f>IFERROR(ROUND(AS278/(AH278+0.0001),3),"")</f>
        <v/>
      </c>
      <c r="AU278" s="6">
        <f>IFERROR(ROUND(AS278/(AI278/1000),3),"")</f>
        <v/>
      </c>
    </row>
    <row r="279">
      <c r="AS279" s="6">
        <f>IF(E279="FE",ROUND(AJ279*0.15+AK279*0.23+AL279*0.15+AM279*0.15+AN279*0.1+AO279*0.1+AP279*0.07+AR279*0.05,3),IF(E279="PE",ROUND(AJ279*0.15+AK279*0.23+AL279*0.15+AM279*0.15+AN279*0.08+AO279*0.1+AQ279*0.09+AR279*0.05,3),""))</f>
        <v/>
      </c>
      <c r="AT279" s="6">
        <f>IFERROR(ROUND(AS279/(AH279+0.0001),3),"")</f>
        <v/>
      </c>
      <c r="AU279" s="6">
        <f>IFERROR(ROUND(AS279/(AI279/1000),3),"")</f>
        <v/>
      </c>
    </row>
    <row r="280">
      <c r="AS280" s="6">
        <f>IF(E280="FE",ROUND(AJ280*0.15+AK280*0.23+AL280*0.15+AM280*0.15+AN280*0.1+AO280*0.1+AP280*0.07+AR280*0.05,3),IF(E280="PE",ROUND(AJ280*0.15+AK280*0.23+AL280*0.15+AM280*0.15+AN280*0.08+AO280*0.1+AQ280*0.09+AR280*0.05,3),""))</f>
        <v/>
      </c>
      <c r="AT280" s="6">
        <f>IFERROR(ROUND(AS280/(AH280+0.0001),3),"")</f>
        <v/>
      </c>
      <c r="AU280" s="6">
        <f>IFERROR(ROUND(AS280/(AI280/1000),3),"")</f>
        <v/>
      </c>
    </row>
    <row r="281">
      <c r="AS281" s="6">
        <f>IF(E281="FE",ROUND(AJ281*0.15+AK281*0.23+AL281*0.15+AM281*0.15+AN281*0.1+AO281*0.1+AP281*0.07+AR281*0.05,3),IF(E281="PE",ROUND(AJ281*0.15+AK281*0.23+AL281*0.15+AM281*0.15+AN281*0.08+AO281*0.1+AQ281*0.09+AR281*0.05,3),""))</f>
        <v/>
      </c>
      <c r="AT281" s="6">
        <f>IFERROR(ROUND(AS281/(AH281+0.0001),3),"")</f>
        <v/>
      </c>
      <c r="AU281" s="6">
        <f>IFERROR(ROUND(AS281/(AI281/1000),3),"")</f>
        <v/>
      </c>
    </row>
    <row r="282">
      <c r="AS282" s="6">
        <f>IF(E282="FE",ROUND(AJ282*0.15+AK282*0.23+AL282*0.15+AM282*0.15+AN282*0.1+AO282*0.1+AP282*0.07+AR282*0.05,3),IF(E282="PE",ROUND(AJ282*0.15+AK282*0.23+AL282*0.15+AM282*0.15+AN282*0.08+AO282*0.1+AQ282*0.09+AR282*0.05,3),""))</f>
        <v/>
      </c>
      <c r="AT282" s="6">
        <f>IFERROR(ROUND(AS282/(AH282+0.0001),3),"")</f>
        <v/>
      </c>
      <c r="AU282" s="6">
        <f>IFERROR(ROUND(AS282/(AI282/1000),3),"")</f>
        <v/>
      </c>
    </row>
    <row r="283">
      <c r="AS283" s="6">
        <f>IF(E283="FE",ROUND(AJ283*0.15+AK283*0.23+AL283*0.15+AM283*0.15+AN283*0.1+AO283*0.1+AP283*0.07+AR283*0.05,3),IF(E283="PE",ROUND(AJ283*0.15+AK283*0.23+AL283*0.15+AM283*0.15+AN283*0.08+AO283*0.1+AQ283*0.09+AR283*0.05,3),""))</f>
        <v/>
      </c>
      <c r="AT283" s="6">
        <f>IFERROR(ROUND(AS283/(AH283+0.0001),3),"")</f>
        <v/>
      </c>
      <c r="AU283" s="6">
        <f>IFERROR(ROUND(AS283/(AI283/1000),3),"")</f>
        <v/>
      </c>
    </row>
    <row r="284">
      <c r="AS284" s="6">
        <f>IF(E284="FE",ROUND(AJ284*0.15+AK284*0.23+AL284*0.15+AM284*0.15+AN284*0.1+AO284*0.1+AP284*0.07+AR284*0.05,3),IF(E284="PE",ROUND(AJ284*0.15+AK284*0.23+AL284*0.15+AM284*0.15+AN284*0.08+AO284*0.1+AQ284*0.09+AR284*0.05,3),""))</f>
        <v/>
      </c>
      <c r="AT284" s="6">
        <f>IFERROR(ROUND(AS284/(AH284+0.0001),3),"")</f>
        <v/>
      </c>
      <c r="AU284" s="6">
        <f>IFERROR(ROUND(AS284/(AI284/1000),3),"")</f>
        <v/>
      </c>
    </row>
    <row r="285">
      <c r="AS285" s="6">
        <f>IF(E285="FE",ROUND(AJ285*0.15+AK285*0.23+AL285*0.15+AM285*0.15+AN285*0.1+AO285*0.1+AP285*0.07+AR285*0.05,3),IF(E285="PE",ROUND(AJ285*0.15+AK285*0.23+AL285*0.15+AM285*0.15+AN285*0.08+AO285*0.1+AQ285*0.09+AR285*0.05,3),""))</f>
        <v/>
      </c>
      <c r="AT285" s="6">
        <f>IFERROR(ROUND(AS285/(AH285+0.0001),3),"")</f>
        <v/>
      </c>
      <c r="AU285" s="6">
        <f>IFERROR(ROUND(AS285/(AI285/1000),3),"")</f>
        <v/>
      </c>
    </row>
    <row r="286">
      <c r="AS286" s="6">
        <f>IF(E286="FE",ROUND(AJ286*0.15+AK286*0.23+AL286*0.15+AM286*0.15+AN286*0.1+AO286*0.1+AP286*0.07+AR286*0.05,3),IF(E286="PE",ROUND(AJ286*0.15+AK286*0.23+AL286*0.15+AM286*0.15+AN286*0.08+AO286*0.1+AQ286*0.09+AR286*0.05,3),""))</f>
        <v/>
      </c>
      <c r="AT286" s="6">
        <f>IFERROR(ROUND(AS286/(AH286+0.0001),3),"")</f>
        <v/>
      </c>
      <c r="AU286" s="6">
        <f>IFERROR(ROUND(AS286/(AI286/1000),3),"")</f>
        <v/>
      </c>
    </row>
    <row r="287">
      <c r="AS287" s="6">
        <f>IF(E287="FE",ROUND(AJ287*0.15+AK287*0.23+AL287*0.15+AM287*0.15+AN287*0.1+AO287*0.1+AP287*0.07+AR287*0.05,3),IF(E287="PE",ROUND(AJ287*0.15+AK287*0.23+AL287*0.15+AM287*0.15+AN287*0.08+AO287*0.1+AQ287*0.09+AR287*0.05,3),""))</f>
        <v/>
      </c>
      <c r="AT287" s="6">
        <f>IFERROR(ROUND(AS287/(AH287+0.0001),3),"")</f>
        <v/>
      </c>
      <c r="AU287" s="6">
        <f>IFERROR(ROUND(AS287/(AI287/1000),3),"")</f>
        <v/>
      </c>
    </row>
    <row r="288">
      <c r="AS288" s="6">
        <f>IF(E288="FE",ROUND(AJ288*0.15+AK288*0.23+AL288*0.15+AM288*0.15+AN288*0.1+AO288*0.1+AP288*0.07+AR288*0.05,3),IF(E288="PE",ROUND(AJ288*0.15+AK288*0.23+AL288*0.15+AM288*0.15+AN288*0.08+AO288*0.1+AQ288*0.09+AR288*0.05,3),""))</f>
        <v/>
      </c>
      <c r="AT288" s="6">
        <f>IFERROR(ROUND(AS288/(AH288+0.0001),3),"")</f>
        <v/>
      </c>
      <c r="AU288" s="6">
        <f>IFERROR(ROUND(AS288/(AI288/1000),3),"")</f>
        <v/>
      </c>
    </row>
    <row r="289">
      <c r="AS289" s="6">
        <f>IF(E289="FE",ROUND(AJ289*0.15+AK289*0.23+AL289*0.15+AM289*0.15+AN289*0.1+AO289*0.1+AP289*0.07+AR289*0.05,3),IF(E289="PE",ROUND(AJ289*0.15+AK289*0.23+AL289*0.15+AM289*0.15+AN289*0.08+AO289*0.1+AQ289*0.09+AR289*0.05,3),""))</f>
        <v/>
      </c>
      <c r="AT289" s="6">
        <f>IFERROR(ROUND(AS289/(AH289+0.0001),3),"")</f>
        <v/>
      </c>
      <c r="AU289" s="6">
        <f>IFERROR(ROUND(AS289/(AI289/1000),3),"")</f>
        <v/>
      </c>
    </row>
    <row r="290">
      <c r="AS290" s="6">
        <f>IF(E290="FE",ROUND(AJ290*0.15+AK290*0.23+AL290*0.15+AM290*0.15+AN290*0.1+AO290*0.1+AP290*0.07+AR290*0.05,3),IF(E290="PE",ROUND(AJ290*0.15+AK290*0.23+AL290*0.15+AM290*0.15+AN290*0.08+AO290*0.1+AQ290*0.09+AR290*0.05,3),""))</f>
        <v/>
      </c>
      <c r="AT290" s="6">
        <f>IFERROR(ROUND(AS290/(AH290+0.0001),3),"")</f>
        <v/>
      </c>
      <c r="AU290" s="6">
        <f>IFERROR(ROUND(AS290/(AI290/1000),3),"")</f>
        <v/>
      </c>
    </row>
    <row r="291">
      <c r="AS291" s="6">
        <f>IF(E291="FE",ROUND(AJ291*0.15+AK291*0.23+AL291*0.15+AM291*0.15+AN291*0.1+AO291*0.1+AP291*0.07+AR291*0.05,3),IF(E291="PE",ROUND(AJ291*0.15+AK291*0.23+AL291*0.15+AM291*0.15+AN291*0.08+AO291*0.1+AQ291*0.09+AR291*0.05,3),""))</f>
        <v/>
      </c>
      <c r="AT291" s="6">
        <f>IFERROR(ROUND(AS291/(AH291+0.0001),3),"")</f>
        <v/>
      </c>
      <c r="AU291" s="6">
        <f>IFERROR(ROUND(AS291/(AI291/1000),3),"")</f>
        <v/>
      </c>
    </row>
    <row r="292">
      <c r="AS292" s="6">
        <f>IF(E292="FE",ROUND(AJ292*0.15+AK292*0.23+AL292*0.15+AM292*0.15+AN292*0.1+AO292*0.1+AP292*0.07+AR292*0.05,3),IF(E292="PE",ROUND(AJ292*0.15+AK292*0.23+AL292*0.15+AM292*0.15+AN292*0.08+AO292*0.1+AQ292*0.09+AR292*0.05,3),""))</f>
        <v/>
      </c>
      <c r="AT292" s="6">
        <f>IFERROR(ROUND(AS292/(AH292+0.0001),3),"")</f>
        <v/>
      </c>
      <c r="AU292" s="6">
        <f>IFERROR(ROUND(AS292/(AI292/1000),3),"")</f>
        <v/>
      </c>
    </row>
    <row r="293">
      <c r="AS293" s="6">
        <f>IF(E293="FE",ROUND(AJ293*0.15+AK293*0.23+AL293*0.15+AM293*0.15+AN293*0.1+AO293*0.1+AP293*0.07+AR293*0.05,3),IF(E293="PE",ROUND(AJ293*0.15+AK293*0.23+AL293*0.15+AM293*0.15+AN293*0.08+AO293*0.1+AQ293*0.09+AR293*0.05,3),""))</f>
        <v/>
      </c>
      <c r="AT293" s="6">
        <f>IFERROR(ROUND(AS293/(AH293+0.0001),3),"")</f>
        <v/>
      </c>
      <c r="AU293" s="6">
        <f>IFERROR(ROUND(AS293/(AI293/1000),3),"")</f>
        <v/>
      </c>
    </row>
    <row r="294">
      <c r="AS294" s="6">
        <f>IF(E294="FE",ROUND(AJ294*0.15+AK294*0.23+AL294*0.15+AM294*0.15+AN294*0.1+AO294*0.1+AP294*0.07+AR294*0.05,3),IF(E294="PE",ROUND(AJ294*0.15+AK294*0.23+AL294*0.15+AM294*0.15+AN294*0.08+AO294*0.1+AQ294*0.09+AR294*0.05,3),""))</f>
        <v/>
      </c>
      <c r="AT294" s="6">
        <f>IFERROR(ROUND(AS294/(AH294+0.0001),3),"")</f>
        <v/>
      </c>
      <c r="AU294" s="6">
        <f>IFERROR(ROUND(AS294/(AI294/1000),3),"")</f>
        <v/>
      </c>
    </row>
    <row r="295">
      <c r="AS295" s="6">
        <f>IF(E295="FE",ROUND(AJ295*0.15+AK295*0.23+AL295*0.15+AM295*0.15+AN295*0.1+AO295*0.1+AP295*0.07+AR295*0.05,3),IF(E295="PE",ROUND(AJ295*0.15+AK295*0.23+AL295*0.15+AM295*0.15+AN295*0.08+AO295*0.1+AQ295*0.09+AR295*0.05,3),""))</f>
        <v/>
      </c>
      <c r="AT295" s="6">
        <f>IFERROR(ROUND(AS295/(AH295+0.0001),3),"")</f>
        <v/>
      </c>
      <c r="AU295" s="6">
        <f>IFERROR(ROUND(AS295/(AI295/1000),3),"")</f>
        <v/>
      </c>
    </row>
    <row r="296">
      <c r="AS296" s="6">
        <f>IF(E296="FE",ROUND(AJ296*0.15+AK296*0.23+AL296*0.15+AM296*0.15+AN296*0.1+AO296*0.1+AP296*0.07+AR296*0.05,3),IF(E296="PE",ROUND(AJ296*0.15+AK296*0.23+AL296*0.15+AM296*0.15+AN296*0.08+AO296*0.1+AQ296*0.09+AR296*0.05,3),""))</f>
        <v/>
      </c>
      <c r="AT296" s="6">
        <f>IFERROR(ROUND(AS296/(AH296+0.0001),3),"")</f>
        <v/>
      </c>
      <c r="AU296" s="6">
        <f>IFERROR(ROUND(AS296/(AI296/1000),3),"")</f>
        <v/>
      </c>
    </row>
    <row r="297">
      <c r="AS297" s="6">
        <f>IF(E297="FE",ROUND(AJ297*0.15+AK297*0.23+AL297*0.15+AM297*0.15+AN297*0.1+AO297*0.1+AP297*0.07+AR297*0.05,3),IF(E297="PE",ROUND(AJ297*0.15+AK297*0.23+AL297*0.15+AM297*0.15+AN297*0.08+AO297*0.1+AQ297*0.09+AR297*0.05,3),""))</f>
        <v/>
      </c>
      <c r="AT297" s="6">
        <f>IFERROR(ROUND(AS297/(AH297+0.0001),3),"")</f>
        <v/>
      </c>
      <c r="AU297" s="6">
        <f>IFERROR(ROUND(AS297/(AI297/1000),3),"")</f>
        <v/>
      </c>
    </row>
    <row r="298">
      <c r="AS298" s="6">
        <f>IF(E298="FE",ROUND(AJ298*0.15+AK298*0.23+AL298*0.15+AM298*0.15+AN298*0.1+AO298*0.1+AP298*0.07+AR298*0.05,3),IF(E298="PE",ROUND(AJ298*0.15+AK298*0.23+AL298*0.15+AM298*0.15+AN298*0.08+AO298*0.1+AQ298*0.09+AR298*0.05,3),""))</f>
        <v/>
      </c>
      <c r="AT298" s="6">
        <f>IFERROR(ROUND(AS298/(AH298+0.0001),3),"")</f>
        <v/>
      </c>
      <c r="AU298" s="6">
        <f>IFERROR(ROUND(AS298/(AI298/1000),3),"")</f>
        <v/>
      </c>
    </row>
    <row r="299">
      <c r="AS299" s="6">
        <f>IF(E299="FE",ROUND(AJ299*0.15+AK299*0.23+AL299*0.15+AM299*0.15+AN299*0.1+AO299*0.1+AP299*0.07+AR299*0.05,3),IF(E299="PE",ROUND(AJ299*0.15+AK299*0.23+AL299*0.15+AM299*0.15+AN299*0.08+AO299*0.1+AQ299*0.09+AR299*0.05,3),""))</f>
        <v/>
      </c>
      <c r="AT299" s="6">
        <f>IFERROR(ROUND(AS299/(AH299+0.0001),3),"")</f>
        <v/>
      </c>
      <c r="AU299" s="6">
        <f>IFERROR(ROUND(AS299/(AI299/1000),3),"")</f>
        <v/>
      </c>
    </row>
    <row r="300">
      <c r="AS300" s="6">
        <f>IF(E300="FE",ROUND(AJ300*0.15+AK300*0.23+AL300*0.15+AM300*0.15+AN300*0.1+AO300*0.1+AP300*0.07+AR300*0.05,3),IF(E300="PE",ROUND(AJ300*0.15+AK300*0.23+AL300*0.15+AM300*0.15+AN300*0.08+AO300*0.1+AQ300*0.09+AR300*0.05,3),""))</f>
        <v/>
      </c>
      <c r="AT300" s="6">
        <f>IFERROR(ROUND(AS300/(AH300+0.0001),3),"")</f>
        <v/>
      </c>
      <c r="AU300" s="6">
        <f>IFERROR(ROUND(AS300/(AI300/1000),3),"")</f>
        <v/>
      </c>
    </row>
    <row r="301">
      <c r="AS301" s="6">
        <f>IF(E301="FE",ROUND(AJ301*0.15+AK301*0.23+AL301*0.15+AM301*0.15+AN301*0.1+AO301*0.1+AP301*0.07+AR301*0.05,3),IF(E301="PE",ROUND(AJ301*0.15+AK301*0.23+AL301*0.15+AM301*0.15+AN301*0.08+AO301*0.1+AQ301*0.09+AR301*0.05,3),""))</f>
        <v/>
      </c>
      <c r="AT301" s="6">
        <f>IFERROR(ROUND(AS301/(AH301+0.0001),3),"")</f>
        <v/>
      </c>
      <c r="AU301" s="6">
        <f>IFERROR(ROUND(AS301/(AI301/1000),3),"")</f>
        <v/>
      </c>
    </row>
    <row r="302">
      <c r="AS302" s="6">
        <f>IF(E302="FE",ROUND(AJ302*0.15+AK302*0.23+AL302*0.15+AM302*0.15+AN302*0.1+AO302*0.1+AP302*0.07+AR302*0.05,3),IF(E302="PE",ROUND(AJ302*0.15+AK302*0.23+AL302*0.15+AM302*0.15+AN302*0.08+AO302*0.1+AQ302*0.09+AR302*0.05,3),""))</f>
        <v/>
      </c>
      <c r="AT302" s="6">
        <f>IFERROR(ROUND(AS302/(AH302+0.0001),3),"")</f>
        <v/>
      </c>
      <c r="AU302" s="6">
        <f>IFERROR(ROUND(AS302/(AI302/1000),3),"")</f>
        <v/>
      </c>
    </row>
    <row r="303">
      <c r="AS303" s="6">
        <f>IF(E303="FE",ROUND(AJ303*0.15+AK303*0.23+AL303*0.15+AM303*0.15+AN303*0.1+AO303*0.1+AP303*0.07+AR303*0.05,3),IF(E303="PE",ROUND(AJ303*0.15+AK303*0.23+AL303*0.15+AM303*0.15+AN303*0.08+AO303*0.1+AQ303*0.09+AR303*0.05,3),""))</f>
        <v/>
      </c>
      <c r="AT303" s="6">
        <f>IFERROR(ROUND(AS303/(AH303+0.0001),3),"")</f>
        <v/>
      </c>
      <c r="AU303" s="6">
        <f>IFERROR(ROUND(AS303/(AI303/1000),3),"")</f>
        <v/>
      </c>
    </row>
    <row r="304">
      <c r="AS304" s="6">
        <f>IF(E304="FE",ROUND(AJ304*0.15+AK304*0.23+AL304*0.15+AM304*0.15+AN304*0.1+AO304*0.1+AP304*0.07+AR304*0.05,3),IF(E304="PE",ROUND(AJ304*0.15+AK304*0.23+AL304*0.15+AM304*0.15+AN304*0.08+AO304*0.1+AQ304*0.09+AR304*0.05,3),""))</f>
        <v/>
      </c>
      <c r="AT304" s="6">
        <f>IFERROR(ROUND(AS304/(AH304+0.0001),3),"")</f>
        <v/>
      </c>
      <c r="AU304" s="6">
        <f>IFERROR(ROUND(AS304/(AI304/1000),3),"")</f>
        <v/>
      </c>
    </row>
    <row r="305">
      <c r="AS305" s="6">
        <f>IF(E305="FE",ROUND(AJ305*0.15+AK305*0.23+AL305*0.15+AM305*0.15+AN305*0.1+AO305*0.1+AP305*0.07+AR305*0.05,3),IF(E305="PE",ROUND(AJ305*0.15+AK305*0.23+AL305*0.15+AM305*0.15+AN305*0.08+AO305*0.1+AQ305*0.09+AR305*0.05,3),""))</f>
        <v/>
      </c>
      <c r="AT305" s="6">
        <f>IFERROR(ROUND(AS305/(AH305+0.0001),3),"")</f>
        <v/>
      </c>
      <c r="AU305" s="6">
        <f>IFERROR(ROUND(AS305/(AI305/1000),3),"")</f>
        <v/>
      </c>
    </row>
    <row r="306">
      <c r="AS306" s="6">
        <f>IF(E306="FE",ROUND(AJ306*0.15+AK306*0.23+AL306*0.15+AM306*0.15+AN306*0.1+AO306*0.1+AP306*0.07+AR306*0.05,3),IF(E306="PE",ROUND(AJ306*0.15+AK306*0.23+AL306*0.15+AM306*0.15+AN306*0.08+AO306*0.1+AQ306*0.09+AR306*0.05,3),""))</f>
        <v/>
      </c>
      <c r="AT306" s="6">
        <f>IFERROR(ROUND(AS306/(AH306+0.0001),3),"")</f>
        <v/>
      </c>
      <c r="AU306" s="6">
        <f>IFERROR(ROUND(AS306/(AI306/1000),3),"")</f>
        <v/>
      </c>
    </row>
    <row r="307">
      <c r="AS307" s="6">
        <f>IF(E307="FE",ROUND(AJ307*0.15+AK307*0.23+AL307*0.15+AM307*0.15+AN307*0.1+AO307*0.1+AP307*0.07+AR307*0.05,3),IF(E307="PE",ROUND(AJ307*0.15+AK307*0.23+AL307*0.15+AM307*0.15+AN307*0.08+AO307*0.1+AQ307*0.09+AR307*0.05,3),""))</f>
        <v/>
      </c>
      <c r="AT307" s="6">
        <f>IFERROR(ROUND(AS307/(AH307+0.0001),3),"")</f>
        <v/>
      </c>
      <c r="AU307" s="6">
        <f>IFERROR(ROUND(AS307/(AI307/1000),3),"")</f>
        <v/>
      </c>
    </row>
    <row r="308">
      <c r="AS308" s="6">
        <f>IF(E308="FE",ROUND(AJ308*0.15+AK308*0.23+AL308*0.15+AM308*0.15+AN308*0.1+AO308*0.1+AP308*0.07+AR308*0.05,3),IF(E308="PE",ROUND(AJ308*0.15+AK308*0.23+AL308*0.15+AM308*0.15+AN308*0.08+AO308*0.1+AQ308*0.09+AR308*0.05,3),""))</f>
        <v/>
      </c>
      <c r="AT308" s="6">
        <f>IFERROR(ROUND(AS308/(AH308+0.0001),3),"")</f>
        <v/>
      </c>
      <c r="AU308" s="6">
        <f>IFERROR(ROUND(AS308/(AI308/1000),3),"")</f>
        <v/>
      </c>
    </row>
    <row r="309">
      <c r="AS309" s="6">
        <f>IF(E309="FE",ROUND(AJ309*0.15+AK309*0.23+AL309*0.15+AM309*0.15+AN309*0.1+AO309*0.1+AP309*0.07+AR309*0.05,3),IF(E309="PE",ROUND(AJ309*0.15+AK309*0.23+AL309*0.15+AM309*0.15+AN309*0.08+AO309*0.1+AQ309*0.09+AR309*0.05,3),""))</f>
        <v/>
      </c>
      <c r="AT309" s="6">
        <f>IFERROR(ROUND(AS309/(AH309+0.0001),3),"")</f>
        <v/>
      </c>
      <c r="AU309" s="6">
        <f>IFERROR(ROUND(AS309/(AI309/1000),3),"")</f>
        <v/>
      </c>
    </row>
    <row r="310">
      <c r="AS310" s="6">
        <f>IF(E310="FE",ROUND(AJ310*0.15+AK310*0.23+AL310*0.15+AM310*0.15+AN310*0.1+AO310*0.1+AP310*0.07+AR310*0.05,3),IF(E310="PE",ROUND(AJ310*0.15+AK310*0.23+AL310*0.15+AM310*0.15+AN310*0.08+AO310*0.1+AQ310*0.09+AR310*0.05,3),""))</f>
        <v/>
      </c>
      <c r="AT310" s="6">
        <f>IFERROR(ROUND(AS310/(AH310+0.0001),3),"")</f>
        <v/>
      </c>
      <c r="AU310" s="6">
        <f>IFERROR(ROUND(AS310/(AI310/1000),3),"")</f>
        <v/>
      </c>
    </row>
    <row r="311">
      <c r="AS311" s="6">
        <f>IF(E311="FE",ROUND(AJ311*0.15+AK311*0.23+AL311*0.15+AM311*0.15+AN311*0.1+AO311*0.1+AP311*0.07+AR311*0.05,3),IF(E311="PE",ROUND(AJ311*0.15+AK311*0.23+AL311*0.15+AM311*0.15+AN311*0.08+AO311*0.1+AQ311*0.09+AR311*0.05,3),""))</f>
        <v/>
      </c>
      <c r="AT311" s="6">
        <f>IFERROR(ROUND(AS311/(AH311+0.0001),3),"")</f>
        <v/>
      </c>
      <c r="AU311" s="6">
        <f>IFERROR(ROUND(AS311/(AI311/1000),3),"")</f>
        <v/>
      </c>
    </row>
    <row r="312">
      <c r="AS312" s="6">
        <f>IF(E312="FE",ROUND(AJ312*0.15+AK312*0.23+AL312*0.15+AM312*0.15+AN312*0.1+AO312*0.1+AP312*0.07+AR312*0.05,3),IF(E312="PE",ROUND(AJ312*0.15+AK312*0.23+AL312*0.15+AM312*0.15+AN312*0.08+AO312*0.1+AQ312*0.09+AR312*0.05,3),""))</f>
        <v/>
      </c>
      <c r="AT312" s="6">
        <f>IFERROR(ROUND(AS312/(AH312+0.0001),3),"")</f>
        <v/>
      </c>
      <c r="AU312" s="6">
        <f>IFERROR(ROUND(AS312/(AI312/1000),3),"")</f>
        <v/>
      </c>
    </row>
    <row r="313">
      <c r="AS313" s="6">
        <f>IF(E313="FE",ROUND(AJ313*0.15+AK313*0.23+AL313*0.15+AM313*0.15+AN313*0.1+AO313*0.1+AP313*0.07+AR313*0.05,3),IF(E313="PE",ROUND(AJ313*0.15+AK313*0.23+AL313*0.15+AM313*0.15+AN313*0.08+AO313*0.1+AQ313*0.09+AR313*0.05,3),""))</f>
        <v/>
      </c>
      <c r="AT313" s="6">
        <f>IFERROR(ROUND(AS313/(AH313+0.0001),3),"")</f>
        <v/>
      </c>
      <c r="AU313" s="6">
        <f>IFERROR(ROUND(AS313/(AI313/1000),3),"")</f>
        <v/>
      </c>
    </row>
    <row r="314">
      <c r="AS314" s="6">
        <f>IF(E314="FE",ROUND(AJ314*0.15+AK314*0.23+AL314*0.15+AM314*0.15+AN314*0.1+AO314*0.1+AP314*0.07+AR314*0.05,3),IF(E314="PE",ROUND(AJ314*0.15+AK314*0.23+AL314*0.15+AM314*0.15+AN314*0.08+AO314*0.1+AQ314*0.09+AR314*0.05,3),""))</f>
        <v/>
      </c>
      <c r="AT314" s="6">
        <f>IFERROR(ROUND(AS314/(AH314+0.0001),3),"")</f>
        <v/>
      </c>
      <c r="AU314" s="6">
        <f>IFERROR(ROUND(AS314/(AI314/1000),3),"")</f>
        <v/>
      </c>
    </row>
    <row r="315">
      <c r="AS315" s="6">
        <f>IF(E315="FE",ROUND(AJ315*0.15+AK315*0.23+AL315*0.15+AM315*0.15+AN315*0.1+AO315*0.1+AP315*0.07+AR315*0.05,3),IF(E315="PE",ROUND(AJ315*0.15+AK315*0.23+AL315*0.15+AM315*0.15+AN315*0.08+AO315*0.1+AQ315*0.09+AR315*0.05,3),""))</f>
        <v/>
      </c>
      <c r="AT315" s="6">
        <f>IFERROR(ROUND(AS315/(AH315+0.0001),3),"")</f>
        <v/>
      </c>
      <c r="AU315" s="6">
        <f>IFERROR(ROUND(AS315/(AI315/1000),3),"")</f>
        <v/>
      </c>
    </row>
    <row r="316">
      <c r="AS316" s="6">
        <f>IF(E316="FE",ROUND(AJ316*0.15+AK316*0.23+AL316*0.15+AM316*0.15+AN316*0.1+AO316*0.1+AP316*0.07+AR316*0.05,3),IF(E316="PE",ROUND(AJ316*0.15+AK316*0.23+AL316*0.15+AM316*0.15+AN316*0.08+AO316*0.1+AQ316*0.09+AR316*0.05,3),""))</f>
        <v/>
      </c>
      <c r="AT316" s="6">
        <f>IFERROR(ROUND(AS316/(AH316+0.0001),3),"")</f>
        <v/>
      </c>
      <c r="AU316" s="6">
        <f>IFERROR(ROUND(AS316/(AI316/1000),3),"")</f>
        <v/>
      </c>
    </row>
    <row r="317">
      <c r="AS317" s="6">
        <f>IF(E317="FE",ROUND(AJ317*0.15+AK317*0.23+AL317*0.15+AM317*0.15+AN317*0.1+AO317*0.1+AP317*0.07+AR317*0.05,3),IF(E317="PE",ROUND(AJ317*0.15+AK317*0.23+AL317*0.15+AM317*0.15+AN317*0.08+AO317*0.1+AQ317*0.09+AR317*0.05,3),""))</f>
        <v/>
      </c>
      <c r="AT317" s="6">
        <f>IFERROR(ROUND(AS317/(AH317+0.0001),3),"")</f>
        <v/>
      </c>
      <c r="AU317" s="6">
        <f>IFERROR(ROUND(AS317/(AI317/1000),3),"")</f>
        <v/>
      </c>
    </row>
    <row r="318">
      <c r="AS318" s="6">
        <f>IF(E318="FE",ROUND(AJ318*0.15+AK318*0.23+AL318*0.15+AM318*0.15+AN318*0.1+AO318*0.1+AP318*0.07+AR318*0.05,3),IF(E318="PE",ROUND(AJ318*0.15+AK318*0.23+AL318*0.15+AM318*0.15+AN318*0.08+AO318*0.1+AQ318*0.09+AR318*0.05,3),""))</f>
        <v/>
      </c>
      <c r="AT318" s="6">
        <f>IFERROR(ROUND(AS318/(AH318+0.0001),3),"")</f>
        <v/>
      </c>
      <c r="AU318" s="6">
        <f>IFERROR(ROUND(AS318/(AI318/1000),3),"")</f>
        <v/>
      </c>
    </row>
    <row r="319">
      <c r="AS319" s="6">
        <f>IF(E319="FE",ROUND(AJ319*0.15+AK319*0.23+AL319*0.15+AM319*0.15+AN319*0.1+AO319*0.1+AP319*0.07+AR319*0.05,3),IF(E319="PE",ROUND(AJ319*0.15+AK319*0.23+AL319*0.15+AM319*0.15+AN319*0.08+AO319*0.1+AQ319*0.09+AR319*0.05,3),""))</f>
        <v/>
      </c>
      <c r="AT319" s="6">
        <f>IFERROR(ROUND(AS319/(AH319+0.0001),3),"")</f>
        <v/>
      </c>
      <c r="AU319" s="6">
        <f>IFERROR(ROUND(AS319/(AI319/1000),3),"")</f>
        <v/>
      </c>
    </row>
    <row r="320">
      <c r="AS320" s="6">
        <f>IF(E320="FE",ROUND(AJ320*0.15+AK320*0.23+AL320*0.15+AM320*0.15+AN320*0.1+AO320*0.1+AP320*0.07+AR320*0.05,3),IF(E320="PE",ROUND(AJ320*0.15+AK320*0.23+AL320*0.15+AM320*0.15+AN320*0.08+AO320*0.1+AQ320*0.09+AR320*0.05,3),""))</f>
        <v/>
      </c>
      <c r="AT320" s="6">
        <f>IFERROR(ROUND(AS320/(AH320+0.0001),3),"")</f>
        <v/>
      </c>
      <c r="AU320" s="6">
        <f>IFERROR(ROUND(AS320/(AI320/1000),3),"")</f>
        <v/>
      </c>
    </row>
    <row r="321">
      <c r="AS321" s="6">
        <f>IF(E321="FE",ROUND(AJ321*0.15+AK321*0.23+AL321*0.15+AM321*0.15+AN321*0.1+AO321*0.1+AP321*0.07+AR321*0.05,3),IF(E321="PE",ROUND(AJ321*0.15+AK321*0.23+AL321*0.15+AM321*0.15+AN321*0.08+AO321*0.1+AQ321*0.09+AR321*0.05,3),""))</f>
        <v/>
      </c>
      <c r="AT321" s="6">
        <f>IFERROR(ROUND(AS321/(AH321+0.0001),3),"")</f>
        <v/>
      </c>
      <c r="AU321" s="6">
        <f>IFERROR(ROUND(AS321/(AI321/1000),3),"")</f>
        <v/>
      </c>
    </row>
    <row r="322">
      <c r="AS322" s="6">
        <f>IF(E322="FE",ROUND(AJ322*0.15+AK322*0.23+AL322*0.15+AM322*0.15+AN322*0.1+AO322*0.1+AP322*0.07+AR322*0.05,3),IF(E322="PE",ROUND(AJ322*0.15+AK322*0.23+AL322*0.15+AM322*0.15+AN322*0.08+AO322*0.1+AQ322*0.09+AR322*0.05,3),""))</f>
        <v/>
      </c>
      <c r="AT322" s="6">
        <f>IFERROR(ROUND(AS322/(AH322+0.0001),3),"")</f>
        <v/>
      </c>
      <c r="AU322" s="6">
        <f>IFERROR(ROUND(AS322/(AI322/1000),3),"")</f>
        <v/>
      </c>
    </row>
    <row r="323">
      <c r="AS323" s="6">
        <f>IF(E323="FE",ROUND(AJ323*0.15+AK323*0.23+AL323*0.15+AM323*0.15+AN323*0.1+AO323*0.1+AP323*0.07+AR323*0.05,3),IF(E323="PE",ROUND(AJ323*0.15+AK323*0.23+AL323*0.15+AM323*0.15+AN323*0.08+AO323*0.1+AQ323*0.09+AR323*0.05,3),""))</f>
        <v/>
      </c>
      <c r="AT323" s="6">
        <f>IFERROR(ROUND(AS323/(AH323+0.0001),3),"")</f>
        <v/>
      </c>
      <c r="AU323" s="6">
        <f>IFERROR(ROUND(AS323/(AI323/1000),3),"")</f>
        <v/>
      </c>
    </row>
    <row r="324">
      <c r="AS324" s="6">
        <f>IF(E324="FE",ROUND(AJ324*0.15+AK324*0.23+AL324*0.15+AM324*0.15+AN324*0.1+AO324*0.1+AP324*0.07+AR324*0.05,3),IF(E324="PE",ROUND(AJ324*0.15+AK324*0.23+AL324*0.15+AM324*0.15+AN324*0.08+AO324*0.1+AQ324*0.09+AR324*0.05,3),""))</f>
        <v/>
      </c>
      <c r="AT324" s="6">
        <f>IFERROR(ROUND(AS324/(AH324+0.0001),3),"")</f>
        <v/>
      </c>
      <c r="AU324" s="6">
        <f>IFERROR(ROUND(AS324/(AI324/1000),3),"")</f>
        <v/>
      </c>
    </row>
    <row r="325">
      <c r="AS325" s="6">
        <f>IF(E325="FE",ROUND(AJ325*0.15+AK325*0.23+AL325*0.15+AM325*0.15+AN325*0.1+AO325*0.1+AP325*0.07+AR325*0.05,3),IF(E325="PE",ROUND(AJ325*0.15+AK325*0.23+AL325*0.15+AM325*0.15+AN325*0.08+AO325*0.1+AQ325*0.09+AR325*0.05,3),""))</f>
        <v/>
      </c>
      <c r="AT325" s="6">
        <f>IFERROR(ROUND(AS325/(AH325+0.0001),3),"")</f>
        <v/>
      </c>
      <c r="AU325" s="6">
        <f>IFERROR(ROUND(AS325/(AI325/1000),3),"")</f>
        <v/>
      </c>
    </row>
    <row r="326">
      <c r="AS326" s="6">
        <f>IF(E326="FE",ROUND(AJ326*0.15+AK326*0.23+AL326*0.15+AM326*0.15+AN326*0.1+AO326*0.1+AP326*0.07+AR326*0.05,3),IF(E326="PE",ROUND(AJ326*0.15+AK326*0.23+AL326*0.15+AM326*0.15+AN326*0.08+AO326*0.1+AQ326*0.09+AR326*0.05,3),""))</f>
        <v/>
      </c>
      <c r="AT326" s="6">
        <f>IFERROR(ROUND(AS326/(AH326+0.0001),3),"")</f>
        <v/>
      </c>
      <c r="AU326" s="6">
        <f>IFERROR(ROUND(AS326/(AI326/1000),3),"")</f>
        <v/>
      </c>
    </row>
    <row r="327">
      <c r="AS327" s="6">
        <f>IF(E327="FE",ROUND(AJ327*0.15+AK327*0.23+AL327*0.15+AM327*0.15+AN327*0.1+AO327*0.1+AP327*0.07+AR327*0.05,3),IF(E327="PE",ROUND(AJ327*0.15+AK327*0.23+AL327*0.15+AM327*0.15+AN327*0.08+AO327*0.1+AQ327*0.09+AR327*0.05,3),""))</f>
        <v/>
      </c>
      <c r="AT327" s="6">
        <f>IFERROR(ROUND(AS327/(AH327+0.0001),3),"")</f>
        <v/>
      </c>
      <c r="AU327" s="6">
        <f>IFERROR(ROUND(AS327/(AI327/1000),3),"")</f>
        <v/>
      </c>
    </row>
    <row r="328">
      <c r="AS328" s="6">
        <f>IF(E328="FE",ROUND(AJ328*0.15+AK328*0.23+AL328*0.15+AM328*0.15+AN328*0.1+AO328*0.1+AP328*0.07+AR328*0.05,3),IF(E328="PE",ROUND(AJ328*0.15+AK328*0.23+AL328*0.15+AM328*0.15+AN328*0.08+AO328*0.1+AQ328*0.09+AR328*0.05,3),""))</f>
        <v/>
      </c>
      <c r="AT328" s="6">
        <f>IFERROR(ROUND(AS328/(AH328+0.0001),3),"")</f>
        <v/>
      </c>
      <c r="AU328" s="6">
        <f>IFERROR(ROUND(AS328/(AI328/1000),3),"")</f>
        <v/>
      </c>
    </row>
    <row r="329">
      <c r="AS329" s="6">
        <f>IF(E329="FE",ROUND(AJ329*0.15+AK329*0.23+AL329*0.15+AM329*0.15+AN329*0.1+AO329*0.1+AP329*0.07+AR329*0.05,3),IF(E329="PE",ROUND(AJ329*0.15+AK329*0.23+AL329*0.15+AM329*0.15+AN329*0.08+AO329*0.1+AQ329*0.09+AR329*0.05,3),""))</f>
        <v/>
      </c>
      <c r="AT329" s="6">
        <f>IFERROR(ROUND(AS329/(AH329+0.0001),3),"")</f>
        <v/>
      </c>
      <c r="AU329" s="6">
        <f>IFERROR(ROUND(AS329/(AI329/1000),3),"")</f>
        <v/>
      </c>
    </row>
    <row r="330">
      <c r="AS330" s="6">
        <f>IF(E330="FE",ROUND(AJ330*0.15+AK330*0.23+AL330*0.15+AM330*0.15+AN330*0.1+AO330*0.1+AP330*0.07+AR330*0.05,3),IF(E330="PE",ROUND(AJ330*0.15+AK330*0.23+AL330*0.15+AM330*0.15+AN330*0.08+AO330*0.1+AQ330*0.09+AR330*0.05,3),""))</f>
        <v/>
      </c>
      <c r="AT330" s="6">
        <f>IFERROR(ROUND(AS330/(AH330+0.0001),3),"")</f>
        <v/>
      </c>
      <c r="AU330" s="6">
        <f>IFERROR(ROUND(AS330/(AI330/1000),3),"")</f>
        <v/>
      </c>
    </row>
    <row r="331">
      <c r="AS331" s="6">
        <f>IF(E331="FE",ROUND(AJ331*0.15+AK331*0.23+AL331*0.15+AM331*0.15+AN331*0.1+AO331*0.1+AP331*0.07+AR331*0.05,3),IF(E331="PE",ROUND(AJ331*0.15+AK331*0.23+AL331*0.15+AM331*0.15+AN331*0.08+AO331*0.1+AQ331*0.09+AR331*0.05,3),""))</f>
        <v/>
      </c>
      <c r="AT331" s="6">
        <f>IFERROR(ROUND(AS331/(AH331+0.0001),3),"")</f>
        <v/>
      </c>
      <c r="AU331" s="6">
        <f>IFERROR(ROUND(AS331/(AI331/1000),3),"")</f>
        <v/>
      </c>
    </row>
    <row r="332">
      <c r="AS332" s="6">
        <f>IF(E332="FE",ROUND(AJ332*0.15+AK332*0.23+AL332*0.15+AM332*0.15+AN332*0.1+AO332*0.1+AP332*0.07+AR332*0.05,3),IF(E332="PE",ROUND(AJ332*0.15+AK332*0.23+AL332*0.15+AM332*0.15+AN332*0.08+AO332*0.1+AQ332*0.09+AR332*0.05,3),""))</f>
        <v/>
      </c>
      <c r="AT332" s="6">
        <f>IFERROR(ROUND(AS332/(AH332+0.0001),3),"")</f>
        <v/>
      </c>
      <c r="AU332" s="6">
        <f>IFERROR(ROUND(AS332/(AI332/1000),3),"")</f>
        <v/>
      </c>
    </row>
    <row r="333">
      <c r="AS333" s="6">
        <f>IF(E333="FE",ROUND(AJ333*0.15+AK333*0.23+AL333*0.15+AM333*0.15+AN333*0.1+AO333*0.1+AP333*0.07+AR333*0.05,3),IF(E333="PE",ROUND(AJ333*0.15+AK333*0.23+AL333*0.15+AM333*0.15+AN333*0.08+AO333*0.1+AQ333*0.09+AR333*0.05,3),""))</f>
        <v/>
      </c>
      <c r="AT333" s="6">
        <f>IFERROR(ROUND(AS333/(AH333+0.0001),3),"")</f>
        <v/>
      </c>
      <c r="AU333" s="6">
        <f>IFERROR(ROUND(AS333/(AI333/1000),3),"")</f>
        <v/>
      </c>
    </row>
    <row r="334">
      <c r="AS334" s="6">
        <f>IF(E334="FE",ROUND(AJ334*0.15+AK334*0.23+AL334*0.15+AM334*0.15+AN334*0.1+AO334*0.1+AP334*0.07+AR334*0.05,3),IF(E334="PE",ROUND(AJ334*0.15+AK334*0.23+AL334*0.15+AM334*0.15+AN334*0.08+AO334*0.1+AQ334*0.09+AR334*0.05,3),""))</f>
        <v/>
      </c>
      <c r="AT334" s="6">
        <f>IFERROR(ROUND(AS334/(AH334+0.0001),3),"")</f>
        <v/>
      </c>
      <c r="AU334" s="6">
        <f>IFERROR(ROUND(AS334/(AI334/1000),3),"")</f>
        <v/>
      </c>
    </row>
    <row r="335">
      <c r="AS335" s="6">
        <f>IF(E335="FE",ROUND(AJ335*0.15+AK335*0.23+AL335*0.15+AM335*0.15+AN335*0.1+AO335*0.1+AP335*0.07+AR335*0.05,3),IF(E335="PE",ROUND(AJ335*0.15+AK335*0.23+AL335*0.15+AM335*0.15+AN335*0.08+AO335*0.1+AQ335*0.09+AR335*0.05,3),""))</f>
        <v/>
      </c>
      <c r="AT335" s="6">
        <f>IFERROR(ROUND(AS335/(AH335+0.0001),3),"")</f>
        <v/>
      </c>
      <c r="AU335" s="6">
        <f>IFERROR(ROUND(AS335/(AI335/1000),3),"")</f>
        <v/>
      </c>
    </row>
    <row r="336">
      <c r="AS336" s="6">
        <f>IF(E336="FE",ROUND(AJ336*0.15+AK336*0.23+AL336*0.15+AM336*0.15+AN336*0.1+AO336*0.1+AP336*0.07+AR336*0.05,3),IF(E336="PE",ROUND(AJ336*0.15+AK336*0.23+AL336*0.15+AM336*0.15+AN336*0.08+AO336*0.1+AQ336*0.09+AR336*0.05,3),""))</f>
        <v/>
      </c>
      <c r="AT336" s="6">
        <f>IFERROR(ROUND(AS336/(AH336+0.0001),3),"")</f>
        <v/>
      </c>
      <c r="AU336" s="6">
        <f>IFERROR(ROUND(AS336/(AI336/1000),3),"")</f>
        <v/>
      </c>
    </row>
    <row r="337">
      <c r="AS337" s="6">
        <f>IF(E337="FE",ROUND(AJ337*0.15+AK337*0.23+AL337*0.15+AM337*0.15+AN337*0.1+AO337*0.1+AP337*0.07+AR337*0.05,3),IF(E337="PE",ROUND(AJ337*0.15+AK337*0.23+AL337*0.15+AM337*0.15+AN337*0.08+AO337*0.1+AQ337*0.09+AR337*0.05,3),""))</f>
        <v/>
      </c>
      <c r="AT337" s="6">
        <f>IFERROR(ROUND(AS337/(AH337+0.0001),3),"")</f>
        <v/>
      </c>
      <c r="AU337" s="6">
        <f>IFERROR(ROUND(AS337/(AI337/1000),3),"")</f>
        <v/>
      </c>
    </row>
    <row r="338">
      <c r="AS338" s="6">
        <f>IF(E338="FE",ROUND(AJ338*0.15+AK338*0.23+AL338*0.15+AM338*0.15+AN338*0.1+AO338*0.1+AP338*0.07+AR338*0.05,3),IF(E338="PE",ROUND(AJ338*0.15+AK338*0.23+AL338*0.15+AM338*0.15+AN338*0.08+AO338*0.1+AQ338*0.09+AR338*0.05,3),""))</f>
        <v/>
      </c>
      <c r="AT338" s="6">
        <f>IFERROR(ROUND(AS338/(AH338+0.0001),3),"")</f>
        <v/>
      </c>
      <c r="AU338" s="6">
        <f>IFERROR(ROUND(AS338/(AI338/1000),3),"")</f>
        <v/>
      </c>
    </row>
    <row r="339">
      <c r="AS339" s="6">
        <f>IF(E339="FE",ROUND(AJ339*0.15+AK339*0.23+AL339*0.15+AM339*0.15+AN339*0.1+AO339*0.1+AP339*0.07+AR339*0.05,3),IF(E339="PE",ROUND(AJ339*0.15+AK339*0.23+AL339*0.15+AM339*0.15+AN339*0.08+AO339*0.1+AQ339*0.09+AR339*0.05,3),""))</f>
        <v/>
      </c>
      <c r="AT339" s="6">
        <f>IFERROR(ROUND(AS339/(AH339+0.0001),3),"")</f>
        <v/>
      </c>
      <c r="AU339" s="6">
        <f>IFERROR(ROUND(AS339/(AI339/1000),3),"")</f>
        <v/>
      </c>
    </row>
    <row r="340">
      <c r="AS340" s="6">
        <f>IF(E340="FE",ROUND(AJ340*0.15+AK340*0.23+AL340*0.15+AM340*0.15+AN340*0.1+AO340*0.1+AP340*0.07+AR340*0.05,3),IF(E340="PE",ROUND(AJ340*0.15+AK340*0.23+AL340*0.15+AM340*0.15+AN340*0.08+AO340*0.1+AQ340*0.09+AR340*0.05,3),""))</f>
        <v/>
      </c>
      <c r="AT340" s="6">
        <f>IFERROR(ROUND(AS340/(AH340+0.0001),3),"")</f>
        <v/>
      </c>
      <c r="AU340" s="6">
        <f>IFERROR(ROUND(AS340/(AI340/1000),3),"")</f>
        <v/>
      </c>
    </row>
    <row r="341">
      <c r="AS341" s="6">
        <f>IF(E341="FE",ROUND(AJ341*0.15+AK341*0.23+AL341*0.15+AM341*0.15+AN341*0.1+AO341*0.1+AP341*0.07+AR341*0.05,3),IF(E341="PE",ROUND(AJ341*0.15+AK341*0.23+AL341*0.15+AM341*0.15+AN341*0.08+AO341*0.1+AQ341*0.09+AR341*0.05,3),""))</f>
        <v/>
      </c>
      <c r="AT341" s="6">
        <f>IFERROR(ROUND(AS341/(AH341+0.0001),3),"")</f>
        <v/>
      </c>
      <c r="AU341" s="6">
        <f>IFERROR(ROUND(AS341/(AI341/1000),3),"")</f>
        <v/>
      </c>
    </row>
    <row r="342">
      <c r="AS342" s="6">
        <f>IF(E342="FE",ROUND(AJ342*0.15+AK342*0.23+AL342*0.15+AM342*0.15+AN342*0.1+AO342*0.1+AP342*0.07+AR342*0.05,3),IF(E342="PE",ROUND(AJ342*0.15+AK342*0.23+AL342*0.15+AM342*0.15+AN342*0.08+AO342*0.1+AQ342*0.09+AR342*0.05,3),""))</f>
        <v/>
      </c>
      <c r="AT342" s="6">
        <f>IFERROR(ROUND(AS342/(AH342+0.0001),3),"")</f>
        <v/>
      </c>
      <c r="AU342" s="6">
        <f>IFERROR(ROUND(AS342/(AI342/1000),3),"")</f>
        <v/>
      </c>
    </row>
    <row r="343">
      <c r="AS343" s="6">
        <f>IF(E343="FE",ROUND(AJ343*0.15+AK343*0.23+AL343*0.15+AM343*0.15+AN343*0.1+AO343*0.1+AP343*0.07+AR343*0.05,3),IF(E343="PE",ROUND(AJ343*0.15+AK343*0.23+AL343*0.15+AM343*0.15+AN343*0.08+AO343*0.1+AQ343*0.09+AR343*0.05,3),""))</f>
        <v/>
      </c>
      <c r="AT343" s="6">
        <f>IFERROR(ROUND(AS343/(AH343+0.0001),3),"")</f>
        <v/>
      </c>
      <c r="AU343" s="6">
        <f>IFERROR(ROUND(AS343/(AI343/1000),3),"")</f>
        <v/>
      </c>
    </row>
    <row r="344">
      <c r="AS344" s="6">
        <f>IF(E344="FE",ROUND(AJ344*0.15+AK344*0.23+AL344*0.15+AM344*0.15+AN344*0.1+AO344*0.1+AP344*0.07+AR344*0.05,3),IF(E344="PE",ROUND(AJ344*0.15+AK344*0.23+AL344*0.15+AM344*0.15+AN344*0.08+AO344*0.1+AQ344*0.09+AR344*0.05,3),""))</f>
        <v/>
      </c>
      <c r="AT344" s="6">
        <f>IFERROR(ROUND(AS344/(AH344+0.0001),3),"")</f>
        <v/>
      </c>
      <c r="AU344" s="6">
        <f>IFERROR(ROUND(AS344/(AI344/1000),3),"")</f>
        <v/>
      </c>
    </row>
    <row r="345">
      <c r="AS345" s="6">
        <f>IF(E345="FE",ROUND(AJ345*0.15+AK345*0.23+AL345*0.15+AM345*0.15+AN345*0.1+AO345*0.1+AP345*0.07+AR345*0.05,3),IF(E345="PE",ROUND(AJ345*0.15+AK345*0.23+AL345*0.15+AM345*0.15+AN345*0.08+AO345*0.1+AQ345*0.09+AR345*0.05,3),""))</f>
        <v/>
      </c>
      <c r="AT345" s="6">
        <f>IFERROR(ROUND(AS345/(AH345+0.0001),3),"")</f>
        <v/>
      </c>
      <c r="AU345" s="6">
        <f>IFERROR(ROUND(AS345/(AI345/1000),3),"")</f>
        <v/>
      </c>
    </row>
    <row r="346">
      <c r="AS346" s="6">
        <f>IF(E346="FE",ROUND(AJ346*0.15+AK346*0.23+AL346*0.15+AM346*0.15+AN346*0.1+AO346*0.1+AP346*0.07+AR346*0.05,3),IF(E346="PE",ROUND(AJ346*0.15+AK346*0.23+AL346*0.15+AM346*0.15+AN346*0.08+AO346*0.1+AQ346*0.09+AR346*0.05,3),""))</f>
        <v/>
      </c>
      <c r="AT346" s="6">
        <f>IFERROR(ROUND(AS346/(AH346+0.0001),3),"")</f>
        <v/>
      </c>
      <c r="AU346" s="6">
        <f>IFERROR(ROUND(AS346/(AI346/1000),3),"")</f>
        <v/>
      </c>
    </row>
    <row r="347">
      <c r="AS347" s="6">
        <f>IF(E347="FE",ROUND(AJ347*0.15+AK347*0.23+AL347*0.15+AM347*0.15+AN347*0.1+AO347*0.1+AP347*0.07+AR347*0.05,3),IF(E347="PE",ROUND(AJ347*0.15+AK347*0.23+AL347*0.15+AM347*0.15+AN347*0.08+AO347*0.1+AQ347*0.09+AR347*0.05,3),""))</f>
        <v/>
      </c>
      <c r="AT347" s="6">
        <f>IFERROR(ROUND(AS347/(AH347+0.0001),3),"")</f>
        <v/>
      </c>
      <c r="AU347" s="6">
        <f>IFERROR(ROUND(AS347/(AI347/1000),3),"")</f>
        <v/>
      </c>
    </row>
    <row r="348">
      <c r="AS348" s="6">
        <f>IF(E348="FE",ROUND(AJ348*0.15+AK348*0.23+AL348*0.15+AM348*0.15+AN348*0.1+AO348*0.1+AP348*0.07+AR348*0.05,3),IF(E348="PE",ROUND(AJ348*0.15+AK348*0.23+AL348*0.15+AM348*0.15+AN348*0.08+AO348*0.1+AQ348*0.09+AR348*0.05,3),""))</f>
        <v/>
      </c>
      <c r="AT348" s="6">
        <f>IFERROR(ROUND(AS348/(AH348+0.0001),3),"")</f>
        <v/>
      </c>
      <c r="AU348" s="6">
        <f>IFERROR(ROUND(AS348/(AI348/1000),3),"")</f>
        <v/>
      </c>
    </row>
    <row r="349">
      <c r="AS349" s="6">
        <f>IF(E349="FE",ROUND(AJ349*0.15+AK349*0.23+AL349*0.15+AM349*0.15+AN349*0.1+AO349*0.1+AP349*0.07+AR349*0.05,3),IF(E349="PE",ROUND(AJ349*0.15+AK349*0.23+AL349*0.15+AM349*0.15+AN349*0.08+AO349*0.1+AQ349*0.09+AR349*0.05,3),""))</f>
        <v/>
      </c>
      <c r="AT349" s="6">
        <f>IFERROR(ROUND(AS349/(AH349+0.0001),3),"")</f>
        <v/>
      </c>
      <c r="AU349" s="6">
        <f>IFERROR(ROUND(AS349/(AI349/1000),3),"")</f>
        <v/>
      </c>
    </row>
    <row r="350">
      <c r="AS350" s="6">
        <f>IF(E350="FE",ROUND(AJ350*0.15+AK350*0.23+AL350*0.15+AM350*0.15+AN350*0.1+AO350*0.1+AP350*0.07+AR350*0.05,3),IF(E350="PE",ROUND(AJ350*0.15+AK350*0.23+AL350*0.15+AM350*0.15+AN350*0.08+AO350*0.1+AQ350*0.09+AR350*0.05,3),""))</f>
        <v/>
      </c>
      <c r="AT350" s="6">
        <f>IFERROR(ROUND(AS350/(AH350+0.0001),3),"")</f>
        <v/>
      </c>
      <c r="AU350" s="6">
        <f>IFERROR(ROUND(AS350/(AI350/1000),3),"")</f>
        <v/>
      </c>
    </row>
    <row r="351">
      <c r="AS351" s="6">
        <f>IF(E351="FE",ROUND(AJ351*0.15+AK351*0.23+AL351*0.15+AM351*0.15+AN351*0.1+AO351*0.1+AP351*0.07+AR351*0.05,3),IF(E351="PE",ROUND(AJ351*0.15+AK351*0.23+AL351*0.15+AM351*0.15+AN351*0.08+AO351*0.1+AQ351*0.09+AR351*0.05,3),""))</f>
        <v/>
      </c>
      <c r="AT351" s="6">
        <f>IFERROR(ROUND(AS351/(AH351+0.0001),3),"")</f>
        <v/>
      </c>
      <c r="AU351" s="6">
        <f>IFERROR(ROUND(AS351/(AI351/1000),3),"")</f>
        <v/>
      </c>
    </row>
    <row r="352">
      <c r="AS352" s="6">
        <f>IF(E352="FE",ROUND(AJ352*0.15+AK352*0.23+AL352*0.15+AM352*0.15+AN352*0.1+AO352*0.1+AP352*0.07+AR352*0.05,3),IF(E352="PE",ROUND(AJ352*0.15+AK352*0.23+AL352*0.15+AM352*0.15+AN352*0.08+AO352*0.1+AQ352*0.09+AR352*0.05,3),""))</f>
        <v/>
      </c>
      <c r="AT352" s="6">
        <f>IFERROR(ROUND(AS352/(AH352+0.0001),3),"")</f>
        <v/>
      </c>
      <c r="AU352" s="6">
        <f>IFERROR(ROUND(AS352/(AI352/1000),3),"")</f>
        <v/>
      </c>
    </row>
    <row r="353">
      <c r="AS353" s="6">
        <f>IF(E353="FE",ROUND(AJ353*0.15+AK353*0.23+AL353*0.15+AM353*0.15+AN353*0.1+AO353*0.1+AP353*0.07+AR353*0.05,3),IF(E353="PE",ROUND(AJ353*0.15+AK353*0.23+AL353*0.15+AM353*0.15+AN353*0.08+AO353*0.1+AQ353*0.09+AR353*0.05,3),""))</f>
        <v/>
      </c>
      <c r="AT353" s="6">
        <f>IFERROR(ROUND(AS353/(AH353+0.0001),3),"")</f>
        <v/>
      </c>
      <c r="AU353" s="6">
        <f>IFERROR(ROUND(AS353/(AI353/1000),3),"")</f>
        <v/>
      </c>
    </row>
    <row r="354">
      <c r="AS354" s="6">
        <f>IF(E354="FE",ROUND(AJ354*0.15+AK354*0.23+AL354*0.15+AM354*0.15+AN354*0.1+AO354*0.1+AP354*0.07+AR354*0.05,3),IF(E354="PE",ROUND(AJ354*0.15+AK354*0.23+AL354*0.15+AM354*0.15+AN354*0.08+AO354*0.1+AQ354*0.09+AR354*0.05,3),""))</f>
        <v/>
      </c>
      <c r="AT354" s="6">
        <f>IFERROR(ROUND(AS354/(AH354+0.0001),3),"")</f>
        <v/>
      </c>
      <c r="AU354" s="6">
        <f>IFERROR(ROUND(AS354/(AI354/1000),3),"")</f>
        <v/>
      </c>
    </row>
    <row r="355">
      <c r="AS355" s="6">
        <f>IF(E355="FE",ROUND(AJ355*0.15+AK355*0.23+AL355*0.15+AM355*0.15+AN355*0.1+AO355*0.1+AP355*0.07+AR355*0.05,3),IF(E355="PE",ROUND(AJ355*0.15+AK355*0.23+AL355*0.15+AM355*0.15+AN355*0.08+AO355*0.1+AQ355*0.09+AR355*0.05,3),""))</f>
        <v/>
      </c>
      <c r="AT355" s="6">
        <f>IFERROR(ROUND(AS355/(AH355+0.0001),3),"")</f>
        <v/>
      </c>
      <c r="AU355" s="6">
        <f>IFERROR(ROUND(AS355/(AI355/1000),3),"")</f>
        <v/>
      </c>
    </row>
    <row r="356">
      <c r="AS356" s="6">
        <f>IF(E356="FE",ROUND(AJ356*0.15+AK356*0.23+AL356*0.15+AM356*0.15+AN356*0.1+AO356*0.1+AP356*0.07+AR356*0.05,3),IF(E356="PE",ROUND(AJ356*0.15+AK356*0.23+AL356*0.15+AM356*0.15+AN356*0.08+AO356*0.1+AQ356*0.09+AR356*0.05,3),""))</f>
        <v/>
      </c>
      <c r="AT356" s="6">
        <f>IFERROR(ROUND(AS356/(AH356+0.0001),3),"")</f>
        <v/>
      </c>
      <c r="AU356" s="6">
        <f>IFERROR(ROUND(AS356/(AI356/1000),3),"")</f>
        <v/>
      </c>
    </row>
    <row r="357">
      <c r="AS357" s="6">
        <f>IF(E357="FE",ROUND(AJ357*0.15+AK357*0.23+AL357*0.15+AM357*0.15+AN357*0.1+AO357*0.1+AP357*0.07+AR357*0.05,3),IF(E357="PE",ROUND(AJ357*0.15+AK357*0.23+AL357*0.15+AM357*0.15+AN357*0.08+AO357*0.1+AQ357*0.09+AR357*0.05,3),""))</f>
        <v/>
      </c>
      <c r="AT357" s="6">
        <f>IFERROR(ROUND(AS357/(AH357+0.0001),3),"")</f>
        <v/>
      </c>
      <c r="AU357" s="6">
        <f>IFERROR(ROUND(AS357/(AI357/1000),3),"")</f>
        <v/>
      </c>
    </row>
    <row r="358">
      <c r="AS358" s="6">
        <f>IF(E358="FE",ROUND(AJ358*0.15+AK358*0.23+AL358*0.15+AM358*0.15+AN358*0.1+AO358*0.1+AP358*0.07+AR358*0.05,3),IF(E358="PE",ROUND(AJ358*0.15+AK358*0.23+AL358*0.15+AM358*0.15+AN358*0.08+AO358*0.1+AQ358*0.09+AR358*0.05,3),""))</f>
        <v/>
      </c>
      <c r="AT358" s="6">
        <f>IFERROR(ROUND(AS358/(AH358+0.0001),3),"")</f>
        <v/>
      </c>
      <c r="AU358" s="6">
        <f>IFERROR(ROUND(AS358/(AI358/1000),3),"")</f>
        <v/>
      </c>
    </row>
    <row r="359">
      <c r="AS359" s="6">
        <f>IF(E359="FE",ROUND(AJ359*0.15+AK359*0.23+AL359*0.15+AM359*0.15+AN359*0.1+AO359*0.1+AP359*0.07+AR359*0.05,3),IF(E359="PE",ROUND(AJ359*0.15+AK359*0.23+AL359*0.15+AM359*0.15+AN359*0.08+AO359*0.1+AQ359*0.09+AR359*0.05,3),""))</f>
        <v/>
      </c>
      <c r="AT359" s="6">
        <f>IFERROR(ROUND(AS359/(AH359+0.0001),3),"")</f>
        <v/>
      </c>
      <c r="AU359" s="6">
        <f>IFERROR(ROUND(AS359/(AI359/1000),3),"")</f>
        <v/>
      </c>
    </row>
    <row r="360">
      <c r="AS360" s="6">
        <f>IF(E360="FE",ROUND(AJ360*0.15+AK360*0.23+AL360*0.15+AM360*0.15+AN360*0.1+AO360*0.1+AP360*0.07+AR360*0.05,3),IF(E360="PE",ROUND(AJ360*0.15+AK360*0.23+AL360*0.15+AM360*0.15+AN360*0.08+AO360*0.1+AQ360*0.09+AR360*0.05,3),""))</f>
        <v/>
      </c>
      <c r="AT360" s="6">
        <f>IFERROR(ROUND(AS360/(AH360+0.0001),3),"")</f>
        <v/>
      </c>
      <c r="AU360" s="6">
        <f>IFERROR(ROUND(AS360/(AI360/1000),3),"")</f>
        <v/>
      </c>
    </row>
    <row r="361">
      <c r="AS361" s="6">
        <f>IF(E361="FE",ROUND(AJ361*0.15+AK361*0.23+AL361*0.15+AM361*0.15+AN361*0.1+AO361*0.1+AP361*0.07+AR361*0.05,3),IF(E361="PE",ROUND(AJ361*0.15+AK361*0.23+AL361*0.15+AM361*0.15+AN361*0.08+AO361*0.1+AQ361*0.09+AR361*0.05,3),""))</f>
        <v/>
      </c>
      <c r="AT361" s="6">
        <f>IFERROR(ROUND(AS361/(AH361+0.0001),3),"")</f>
        <v/>
      </c>
      <c r="AU361" s="6">
        <f>IFERROR(ROUND(AS361/(AI361/1000),3),"")</f>
        <v/>
      </c>
    </row>
    <row r="362">
      <c r="AS362" s="6">
        <f>IF(E362="FE",ROUND(AJ362*0.15+AK362*0.23+AL362*0.15+AM362*0.15+AN362*0.1+AO362*0.1+AP362*0.07+AR362*0.05,3),IF(E362="PE",ROUND(AJ362*0.15+AK362*0.23+AL362*0.15+AM362*0.15+AN362*0.08+AO362*0.1+AQ362*0.09+AR362*0.05,3),""))</f>
        <v/>
      </c>
      <c r="AT362" s="6">
        <f>IFERROR(ROUND(AS362/(AH362+0.0001),3),"")</f>
        <v/>
      </c>
      <c r="AU362" s="6">
        <f>IFERROR(ROUND(AS362/(AI362/1000),3),"")</f>
        <v/>
      </c>
    </row>
    <row r="363">
      <c r="AS363" s="6">
        <f>IF(E363="FE",ROUND(AJ363*0.15+AK363*0.23+AL363*0.15+AM363*0.15+AN363*0.1+AO363*0.1+AP363*0.07+AR363*0.05,3),IF(E363="PE",ROUND(AJ363*0.15+AK363*0.23+AL363*0.15+AM363*0.15+AN363*0.08+AO363*0.1+AQ363*0.09+AR363*0.05,3),""))</f>
        <v/>
      </c>
      <c r="AT363" s="6">
        <f>IFERROR(ROUND(AS363/(AH363+0.0001),3),"")</f>
        <v/>
      </c>
      <c r="AU363" s="6">
        <f>IFERROR(ROUND(AS363/(AI363/1000),3),"")</f>
        <v/>
      </c>
    </row>
    <row r="364">
      <c r="AS364" s="6">
        <f>IF(E364="FE",ROUND(AJ364*0.15+AK364*0.23+AL364*0.15+AM364*0.15+AN364*0.1+AO364*0.1+AP364*0.07+AR364*0.05,3),IF(E364="PE",ROUND(AJ364*0.15+AK364*0.23+AL364*0.15+AM364*0.15+AN364*0.08+AO364*0.1+AQ364*0.09+AR364*0.05,3),""))</f>
        <v/>
      </c>
      <c r="AT364" s="6">
        <f>IFERROR(ROUND(AS364/(AH364+0.0001),3),"")</f>
        <v/>
      </c>
      <c r="AU364" s="6">
        <f>IFERROR(ROUND(AS364/(AI364/1000),3),"")</f>
        <v/>
      </c>
    </row>
    <row r="365">
      <c r="AS365" s="6">
        <f>IF(E365="FE",ROUND(AJ365*0.15+AK365*0.23+AL365*0.15+AM365*0.15+AN365*0.1+AO365*0.1+AP365*0.07+AR365*0.05,3),IF(E365="PE",ROUND(AJ365*0.15+AK365*0.23+AL365*0.15+AM365*0.15+AN365*0.08+AO365*0.1+AQ365*0.09+AR365*0.05,3),""))</f>
        <v/>
      </c>
      <c r="AT365" s="6">
        <f>IFERROR(ROUND(AS365/(AH365+0.0001),3),"")</f>
        <v/>
      </c>
      <c r="AU365" s="6">
        <f>IFERROR(ROUND(AS365/(AI365/1000),3),"")</f>
        <v/>
      </c>
    </row>
    <row r="366">
      <c r="AS366" s="6">
        <f>IF(E366="FE",ROUND(AJ366*0.15+AK366*0.23+AL366*0.15+AM366*0.15+AN366*0.1+AO366*0.1+AP366*0.07+AR366*0.05,3),IF(E366="PE",ROUND(AJ366*0.15+AK366*0.23+AL366*0.15+AM366*0.15+AN366*0.08+AO366*0.1+AQ366*0.09+AR366*0.05,3),""))</f>
        <v/>
      </c>
      <c r="AT366" s="6">
        <f>IFERROR(ROUND(AS366/(AH366+0.0001),3),"")</f>
        <v/>
      </c>
      <c r="AU366" s="6">
        <f>IFERROR(ROUND(AS366/(AI366/1000),3),"")</f>
        <v/>
      </c>
    </row>
    <row r="367">
      <c r="AS367" s="6">
        <f>IF(E367="FE",ROUND(AJ367*0.15+AK367*0.23+AL367*0.15+AM367*0.15+AN367*0.1+AO367*0.1+AP367*0.07+AR367*0.05,3),IF(E367="PE",ROUND(AJ367*0.15+AK367*0.23+AL367*0.15+AM367*0.15+AN367*0.08+AO367*0.1+AQ367*0.09+AR367*0.05,3),""))</f>
        <v/>
      </c>
      <c r="AT367" s="6">
        <f>IFERROR(ROUND(AS367/(AH367+0.0001),3),"")</f>
        <v/>
      </c>
      <c r="AU367" s="6">
        <f>IFERROR(ROUND(AS367/(AI367/1000),3),"")</f>
        <v/>
      </c>
    </row>
    <row r="368">
      <c r="AS368" s="6">
        <f>IF(E368="FE",ROUND(AJ368*0.15+AK368*0.23+AL368*0.15+AM368*0.15+AN368*0.1+AO368*0.1+AP368*0.07+AR368*0.05,3),IF(E368="PE",ROUND(AJ368*0.15+AK368*0.23+AL368*0.15+AM368*0.15+AN368*0.08+AO368*0.1+AQ368*0.09+AR368*0.05,3),""))</f>
        <v/>
      </c>
      <c r="AT368" s="6">
        <f>IFERROR(ROUND(AS368/(AH368+0.0001),3),"")</f>
        <v/>
      </c>
      <c r="AU368" s="6">
        <f>IFERROR(ROUND(AS368/(AI368/1000),3),"")</f>
        <v/>
      </c>
    </row>
    <row r="369">
      <c r="AS369" s="6">
        <f>IF(E369="FE",ROUND(AJ369*0.15+AK369*0.23+AL369*0.15+AM369*0.15+AN369*0.1+AO369*0.1+AP369*0.07+AR369*0.05,3),IF(E369="PE",ROUND(AJ369*0.15+AK369*0.23+AL369*0.15+AM369*0.15+AN369*0.08+AO369*0.1+AQ369*0.09+AR369*0.05,3),""))</f>
        <v/>
      </c>
      <c r="AT369" s="6">
        <f>IFERROR(ROUND(AS369/(AH369+0.0001),3),"")</f>
        <v/>
      </c>
      <c r="AU369" s="6">
        <f>IFERROR(ROUND(AS369/(AI369/1000),3),"")</f>
        <v/>
      </c>
    </row>
    <row r="370">
      <c r="AS370" s="6">
        <f>IF(E370="FE",ROUND(AJ370*0.15+AK370*0.23+AL370*0.15+AM370*0.15+AN370*0.1+AO370*0.1+AP370*0.07+AR370*0.05,3),IF(E370="PE",ROUND(AJ370*0.15+AK370*0.23+AL370*0.15+AM370*0.15+AN370*0.08+AO370*0.1+AQ370*0.09+AR370*0.05,3),""))</f>
        <v/>
      </c>
      <c r="AT370" s="6">
        <f>IFERROR(ROUND(AS370/(AH370+0.0001),3),"")</f>
        <v/>
      </c>
      <c r="AU370" s="6">
        <f>IFERROR(ROUND(AS370/(AI370/1000),3),"")</f>
        <v/>
      </c>
    </row>
    <row r="371">
      <c r="AS371" s="6">
        <f>IF(E371="FE",ROUND(AJ371*0.15+AK371*0.23+AL371*0.15+AM371*0.15+AN371*0.1+AO371*0.1+AP371*0.07+AR371*0.05,3),IF(E371="PE",ROUND(AJ371*0.15+AK371*0.23+AL371*0.15+AM371*0.15+AN371*0.08+AO371*0.1+AQ371*0.09+AR371*0.05,3),""))</f>
        <v/>
      </c>
      <c r="AT371" s="6">
        <f>IFERROR(ROUND(AS371/(AH371+0.0001),3),"")</f>
        <v/>
      </c>
      <c r="AU371" s="6">
        <f>IFERROR(ROUND(AS371/(AI371/1000),3),"")</f>
        <v/>
      </c>
    </row>
    <row r="372">
      <c r="AS372" s="6">
        <f>IF(E372="FE",ROUND(AJ372*0.15+AK372*0.23+AL372*0.15+AM372*0.15+AN372*0.1+AO372*0.1+AP372*0.07+AR372*0.05,3),IF(E372="PE",ROUND(AJ372*0.15+AK372*0.23+AL372*0.15+AM372*0.15+AN372*0.08+AO372*0.1+AQ372*0.09+AR372*0.05,3),""))</f>
        <v/>
      </c>
      <c r="AT372" s="6">
        <f>IFERROR(ROUND(AS372/(AH372+0.0001),3),"")</f>
        <v/>
      </c>
      <c r="AU372" s="6">
        <f>IFERROR(ROUND(AS372/(AI372/1000),3),"")</f>
        <v/>
      </c>
    </row>
    <row r="373">
      <c r="AS373" s="6">
        <f>IF(E373="FE",ROUND(AJ373*0.15+AK373*0.23+AL373*0.15+AM373*0.15+AN373*0.1+AO373*0.1+AP373*0.07+AR373*0.05,3),IF(E373="PE",ROUND(AJ373*0.15+AK373*0.23+AL373*0.15+AM373*0.15+AN373*0.08+AO373*0.1+AQ373*0.09+AR373*0.05,3),""))</f>
        <v/>
      </c>
      <c r="AT373" s="6">
        <f>IFERROR(ROUND(AS373/(AH373+0.0001),3),"")</f>
        <v/>
      </c>
      <c r="AU373" s="6">
        <f>IFERROR(ROUND(AS373/(AI373/1000),3),"")</f>
        <v/>
      </c>
    </row>
    <row r="374">
      <c r="AS374" s="6">
        <f>IF(E374="FE",ROUND(AJ374*0.15+AK374*0.23+AL374*0.15+AM374*0.15+AN374*0.1+AO374*0.1+AP374*0.07+AR374*0.05,3),IF(E374="PE",ROUND(AJ374*0.15+AK374*0.23+AL374*0.15+AM374*0.15+AN374*0.08+AO374*0.1+AQ374*0.09+AR374*0.05,3),""))</f>
        <v/>
      </c>
      <c r="AT374" s="6">
        <f>IFERROR(ROUND(AS374/(AH374+0.0001),3),"")</f>
        <v/>
      </c>
      <c r="AU374" s="6">
        <f>IFERROR(ROUND(AS374/(AI374/1000),3),"")</f>
        <v/>
      </c>
    </row>
    <row r="375">
      <c r="AS375" s="6">
        <f>IF(E375="FE",ROUND(AJ375*0.15+AK375*0.23+AL375*0.15+AM375*0.15+AN375*0.1+AO375*0.1+AP375*0.07+AR375*0.05,3),IF(E375="PE",ROUND(AJ375*0.15+AK375*0.23+AL375*0.15+AM375*0.15+AN375*0.08+AO375*0.1+AQ375*0.09+AR375*0.05,3),""))</f>
        <v/>
      </c>
      <c r="AT375" s="6">
        <f>IFERROR(ROUND(AS375/(AH375+0.0001),3),"")</f>
        <v/>
      </c>
      <c r="AU375" s="6">
        <f>IFERROR(ROUND(AS375/(AI375/1000),3),"")</f>
        <v/>
      </c>
    </row>
    <row r="376">
      <c r="AS376" s="6">
        <f>IF(E376="FE",ROUND(AJ376*0.15+AK376*0.23+AL376*0.15+AM376*0.15+AN376*0.1+AO376*0.1+AP376*0.07+AR376*0.05,3),IF(E376="PE",ROUND(AJ376*0.15+AK376*0.23+AL376*0.15+AM376*0.15+AN376*0.08+AO376*0.1+AQ376*0.09+AR376*0.05,3),""))</f>
        <v/>
      </c>
      <c r="AT376" s="6">
        <f>IFERROR(ROUND(AS376/(AH376+0.0001),3),"")</f>
        <v/>
      </c>
      <c r="AU376" s="6">
        <f>IFERROR(ROUND(AS376/(AI376/1000),3),"")</f>
        <v/>
      </c>
    </row>
    <row r="377">
      <c r="AS377" s="6">
        <f>IF(E377="FE",ROUND(AJ377*0.15+AK377*0.23+AL377*0.15+AM377*0.15+AN377*0.1+AO377*0.1+AP377*0.07+AR377*0.05,3),IF(E377="PE",ROUND(AJ377*0.15+AK377*0.23+AL377*0.15+AM377*0.15+AN377*0.08+AO377*0.1+AQ377*0.09+AR377*0.05,3),""))</f>
        <v/>
      </c>
      <c r="AT377" s="6">
        <f>IFERROR(ROUND(AS377/(AH377+0.0001),3),"")</f>
        <v/>
      </c>
      <c r="AU377" s="6">
        <f>IFERROR(ROUND(AS377/(AI377/1000),3),"")</f>
        <v/>
      </c>
    </row>
    <row r="378">
      <c r="AS378" s="6">
        <f>IF(E378="FE",ROUND(AJ378*0.15+AK378*0.23+AL378*0.15+AM378*0.15+AN378*0.1+AO378*0.1+AP378*0.07+AR378*0.05,3),IF(E378="PE",ROUND(AJ378*0.15+AK378*0.23+AL378*0.15+AM378*0.15+AN378*0.08+AO378*0.1+AQ378*0.09+AR378*0.05,3),""))</f>
        <v/>
      </c>
      <c r="AT378" s="6">
        <f>IFERROR(ROUND(AS378/(AH378+0.0001),3),"")</f>
        <v/>
      </c>
      <c r="AU378" s="6">
        <f>IFERROR(ROUND(AS378/(AI378/1000),3),"")</f>
        <v/>
      </c>
    </row>
    <row r="379">
      <c r="AS379" s="6">
        <f>IF(E379="FE",ROUND(AJ379*0.15+AK379*0.23+AL379*0.15+AM379*0.15+AN379*0.1+AO379*0.1+AP379*0.07+AR379*0.05,3),IF(E379="PE",ROUND(AJ379*0.15+AK379*0.23+AL379*0.15+AM379*0.15+AN379*0.08+AO379*0.1+AQ379*0.09+AR379*0.05,3),""))</f>
        <v/>
      </c>
      <c r="AT379" s="6">
        <f>IFERROR(ROUND(AS379/(AH379+0.0001),3),"")</f>
        <v/>
      </c>
      <c r="AU379" s="6">
        <f>IFERROR(ROUND(AS379/(AI379/1000),3),"")</f>
        <v/>
      </c>
    </row>
    <row r="380">
      <c r="AS380" s="6">
        <f>IF(E380="FE",ROUND(AJ380*0.15+AK380*0.23+AL380*0.15+AM380*0.15+AN380*0.1+AO380*0.1+AP380*0.07+AR380*0.05,3),IF(E380="PE",ROUND(AJ380*0.15+AK380*0.23+AL380*0.15+AM380*0.15+AN380*0.08+AO380*0.1+AQ380*0.09+AR380*0.05,3),""))</f>
        <v/>
      </c>
      <c r="AT380" s="6">
        <f>IFERROR(ROUND(AS380/(AH380+0.0001),3),"")</f>
        <v/>
      </c>
      <c r="AU380" s="6">
        <f>IFERROR(ROUND(AS380/(AI380/1000),3),"")</f>
        <v/>
      </c>
    </row>
    <row r="381">
      <c r="AS381" s="6">
        <f>IF(E381="FE",ROUND(AJ381*0.15+AK381*0.23+AL381*0.15+AM381*0.15+AN381*0.1+AO381*0.1+AP381*0.07+AR381*0.05,3),IF(E381="PE",ROUND(AJ381*0.15+AK381*0.23+AL381*0.15+AM381*0.15+AN381*0.08+AO381*0.1+AQ381*0.09+AR381*0.05,3),""))</f>
        <v/>
      </c>
      <c r="AT381" s="6">
        <f>IFERROR(ROUND(AS381/(AH381+0.0001),3),"")</f>
        <v/>
      </c>
      <c r="AU381" s="6">
        <f>IFERROR(ROUND(AS381/(AI381/1000),3),"")</f>
        <v/>
      </c>
    </row>
    <row r="382">
      <c r="AS382" s="6">
        <f>IF(E382="FE",ROUND(AJ382*0.15+AK382*0.23+AL382*0.15+AM382*0.15+AN382*0.1+AO382*0.1+AP382*0.07+AR382*0.05,3),IF(E382="PE",ROUND(AJ382*0.15+AK382*0.23+AL382*0.15+AM382*0.15+AN382*0.08+AO382*0.1+AQ382*0.09+AR382*0.05,3),""))</f>
        <v/>
      </c>
      <c r="AT382" s="6">
        <f>IFERROR(ROUND(AS382/(AH382+0.0001),3),"")</f>
        <v/>
      </c>
      <c r="AU382" s="6">
        <f>IFERROR(ROUND(AS382/(AI382/1000),3),"")</f>
        <v/>
      </c>
    </row>
    <row r="383">
      <c r="AS383" s="6">
        <f>IF(E383="FE",ROUND(AJ383*0.15+AK383*0.23+AL383*0.15+AM383*0.15+AN383*0.1+AO383*0.1+AP383*0.07+AR383*0.05,3),IF(E383="PE",ROUND(AJ383*0.15+AK383*0.23+AL383*0.15+AM383*0.15+AN383*0.08+AO383*0.1+AQ383*0.09+AR383*0.05,3),""))</f>
        <v/>
      </c>
      <c r="AT383" s="6">
        <f>IFERROR(ROUND(AS383/(AH383+0.0001),3),"")</f>
        <v/>
      </c>
      <c r="AU383" s="6">
        <f>IFERROR(ROUND(AS383/(AI383/1000),3),"")</f>
        <v/>
      </c>
    </row>
    <row r="384">
      <c r="AS384" s="6">
        <f>IF(E384="FE",ROUND(AJ384*0.15+AK384*0.23+AL384*0.15+AM384*0.15+AN384*0.1+AO384*0.1+AP384*0.07+AR384*0.05,3),IF(E384="PE",ROUND(AJ384*0.15+AK384*0.23+AL384*0.15+AM384*0.15+AN384*0.08+AO384*0.1+AQ384*0.09+AR384*0.05,3),""))</f>
        <v/>
      </c>
      <c r="AT384" s="6">
        <f>IFERROR(ROUND(AS384/(AH384+0.0001),3),"")</f>
        <v/>
      </c>
      <c r="AU384" s="6">
        <f>IFERROR(ROUND(AS384/(AI384/1000),3),"")</f>
        <v/>
      </c>
    </row>
    <row r="385">
      <c r="AS385" s="6">
        <f>IF(E385="FE",ROUND(AJ385*0.15+AK385*0.23+AL385*0.15+AM385*0.15+AN385*0.1+AO385*0.1+AP385*0.07+AR385*0.05,3),IF(E385="PE",ROUND(AJ385*0.15+AK385*0.23+AL385*0.15+AM385*0.15+AN385*0.08+AO385*0.1+AQ385*0.09+AR385*0.05,3),""))</f>
        <v/>
      </c>
      <c r="AT385" s="6">
        <f>IFERROR(ROUND(AS385/(AH385+0.0001),3),"")</f>
        <v/>
      </c>
      <c r="AU385" s="6">
        <f>IFERROR(ROUND(AS385/(AI385/1000),3),"")</f>
        <v/>
      </c>
    </row>
    <row r="386">
      <c r="AS386" s="6">
        <f>IF(E386="FE",ROUND(AJ386*0.15+AK386*0.23+AL386*0.15+AM386*0.15+AN386*0.1+AO386*0.1+AP386*0.07+AR386*0.05,3),IF(E386="PE",ROUND(AJ386*0.15+AK386*0.23+AL386*0.15+AM386*0.15+AN386*0.08+AO386*0.1+AQ386*0.09+AR386*0.05,3),""))</f>
        <v/>
      </c>
      <c r="AT386" s="6">
        <f>IFERROR(ROUND(AS386/(AH386+0.0001),3),"")</f>
        <v/>
      </c>
      <c r="AU386" s="6">
        <f>IFERROR(ROUND(AS386/(AI386/1000),3),"")</f>
        <v/>
      </c>
    </row>
    <row r="387">
      <c r="AS387" s="6">
        <f>IF(E387="FE",ROUND(AJ387*0.15+AK387*0.23+AL387*0.15+AM387*0.15+AN387*0.1+AO387*0.1+AP387*0.07+AR387*0.05,3),IF(E387="PE",ROUND(AJ387*0.15+AK387*0.23+AL387*0.15+AM387*0.15+AN387*0.08+AO387*0.1+AQ387*0.09+AR387*0.05,3),""))</f>
        <v/>
      </c>
      <c r="AT387" s="6">
        <f>IFERROR(ROUND(AS387/(AH387+0.0001),3),"")</f>
        <v/>
      </c>
      <c r="AU387" s="6">
        <f>IFERROR(ROUND(AS387/(AI387/1000),3),"")</f>
        <v/>
      </c>
    </row>
    <row r="388">
      <c r="AS388" s="6">
        <f>IF(E388="FE",ROUND(AJ388*0.15+AK388*0.23+AL388*0.15+AM388*0.15+AN388*0.1+AO388*0.1+AP388*0.07+AR388*0.05,3),IF(E388="PE",ROUND(AJ388*0.15+AK388*0.23+AL388*0.15+AM388*0.15+AN388*0.08+AO388*0.1+AQ388*0.09+AR388*0.05,3),""))</f>
        <v/>
      </c>
      <c r="AT388" s="6">
        <f>IFERROR(ROUND(AS388/(AH388+0.0001),3),"")</f>
        <v/>
      </c>
      <c r="AU388" s="6">
        <f>IFERROR(ROUND(AS388/(AI388/1000),3),"")</f>
        <v/>
      </c>
    </row>
    <row r="389">
      <c r="AS389" s="6">
        <f>IF(E389="FE",ROUND(AJ389*0.15+AK389*0.23+AL389*0.15+AM389*0.15+AN389*0.1+AO389*0.1+AP389*0.07+AR389*0.05,3),IF(E389="PE",ROUND(AJ389*0.15+AK389*0.23+AL389*0.15+AM389*0.15+AN389*0.08+AO389*0.1+AQ389*0.09+AR389*0.05,3),""))</f>
        <v/>
      </c>
      <c r="AT389" s="6">
        <f>IFERROR(ROUND(AS389/(AH389+0.0001),3),"")</f>
        <v/>
      </c>
      <c r="AU389" s="6">
        <f>IFERROR(ROUND(AS389/(AI389/1000),3),"")</f>
        <v/>
      </c>
    </row>
    <row r="390">
      <c r="AS390" s="6">
        <f>IF(E390="FE",ROUND(AJ390*0.15+AK390*0.23+AL390*0.15+AM390*0.15+AN390*0.1+AO390*0.1+AP390*0.07+AR390*0.05,3),IF(E390="PE",ROUND(AJ390*0.15+AK390*0.23+AL390*0.15+AM390*0.15+AN390*0.08+AO390*0.1+AQ390*0.09+AR390*0.05,3),""))</f>
        <v/>
      </c>
      <c r="AT390" s="6">
        <f>IFERROR(ROUND(AS390/(AH390+0.0001),3),"")</f>
        <v/>
      </c>
      <c r="AU390" s="6">
        <f>IFERROR(ROUND(AS390/(AI390/1000),3),"")</f>
        <v/>
      </c>
    </row>
    <row r="391">
      <c r="AS391" s="6">
        <f>IF(E391="FE",ROUND(AJ391*0.15+AK391*0.23+AL391*0.15+AM391*0.15+AN391*0.1+AO391*0.1+AP391*0.07+AR391*0.05,3),IF(E391="PE",ROUND(AJ391*0.15+AK391*0.23+AL391*0.15+AM391*0.15+AN391*0.08+AO391*0.1+AQ391*0.09+AR391*0.05,3),""))</f>
        <v/>
      </c>
      <c r="AT391" s="6">
        <f>IFERROR(ROUND(AS391/(AH391+0.0001),3),"")</f>
        <v/>
      </c>
      <c r="AU391" s="6">
        <f>IFERROR(ROUND(AS391/(AI391/1000),3),"")</f>
        <v/>
      </c>
    </row>
    <row r="392">
      <c r="AS392" s="6">
        <f>IF(E392="FE",ROUND(AJ392*0.15+AK392*0.23+AL392*0.15+AM392*0.15+AN392*0.1+AO392*0.1+AP392*0.07+AR392*0.05,3),IF(E392="PE",ROUND(AJ392*0.15+AK392*0.23+AL392*0.15+AM392*0.15+AN392*0.08+AO392*0.1+AQ392*0.09+AR392*0.05,3),""))</f>
        <v/>
      </c>
      <c r="AT392" s="6">
        <f>IFERROR(ROUND(AS392/(AH392+0.0001),3),"")</f>
        <v/>
      </c>
      <c r="AU392" s="6">
        <f>IFERROR(ROUND(AS392/(AI392/1000),3),"")</f>
        <v/>
      </c>
    </row>
    <row r="393">
      <c r="AS393" s="6">
        <f>IF(E393="FE",ROUND(AJ393*0.15+AK393*0.23+AL393*0.15+AM393*0.15+AN393*0.1+AO393*0.1+AP393*0.07+AR393*0.05,3),IF(E393="PE",ROUND(AJ393*0.15+AK393*0.23+AL393*0.15+AM393*0.15+AN393*0.08+AO393*0.1+AQ393*0.09+AR393*0.05,3),""))</f>
        <v/>
      </c>
      <c r="AT393" s="6">
        <f>IFERROR(ROUND(AS393/(AH393+0.0001),3),"")</f>
        <v/>
      </c>
      <c r="AU393" s="6">
        <f>IFERROR(ROUND(AS393/(AI393/1000),3),"")</f>
        <v/>
      </c>
    </row>
    <row r="394">
      <c r="AS394" s="6">
        <f>IF(E394="FE",ROUND(AJ394*0.15+AK394*0.23+AL394*0.15+AM394*0.15+AN394*0.1+AO394*0.1+AP394*0.07+AR394*0.05,3),IF(E394="PE",ROUND(AJ394*0.15+AK394*0.23+AL394*0.15+AM394*0.15+AN394*0.08+AO394*0.1+AQ394*0.09+AR394*0.05,3),""))</f>
        <v/>
      </c>
      <c r="AT394" s="6">
        <f>IFERROR(ROUND(AS394/(AH394+0.0001),3),"")</f>
        <v/>
      </c>
      <c r="AU394" s="6">
        <f>IFERROR(ROUND(AS394/(AI394/1000),3),"")</f>
        <v/>
      </c>
    </row>
    <row r="395">
      <c r="AS395" s="6">
        <f>IF(E395="FE",ROUND(AJ395*0.15+AK395*0.23+AL395*0.15+AM395*0.15+AN395*0.1+AO395*0.1+AP395*0.07+AR395*0.05,3),IF(E395="PE",ROUND(AJ395*0.15+AK395*0.23+AL395*0.15+AM395*0.15+AN395*0.08+AO395*0.1+AQ395*0.09+AR395*0.05,3),""))</f>
        <v/>
      </c>
      <c r="AT395" s="6">
        <f>IFERROR(ROUND(AS395/(AH395+0.0001),3),"")</f>
        <v/>
      </c>
      <c r="AU395" s="6">
        <f>IFERROR(ROUND(AS395/(AI395/1000),3),"")</f>
        <v/>
      </c>
    </row>
    <row r="396">
      <c r="AS396" s="6">
        <f>IF(E396="FE",ROUND(AJ396*0.15+AK396*0.23+AL396*0.15+AM396*0.15+AN396*0.1+AO396*0.1+AP396*0.07+AR396*0.05,3),IF(E396="PE",ROUND(AJ396*0.15+AK396*0.23+AL396*0.15+AM396*0.15+AN396*0.08+AO396*0.1+AQ396*0.09+AR396*0.05,3),""))</f>
        <v/>
      </c>
      <c r="AT396" s="6">
        <f>IFERROR(ROUND(AS396/(AH396+0.0001),3),"")</f>
        <v/>
      </c>
      <c r="AU396" s="6">
        <f>IFERROR(ROUND(AS396/(AI396/1000),3),"")</f>
        <v/>
      </c>
    </row>
    <row r="397">
      <c r="AS397" s="6">
        <f>IF(E397="FE",ROUND(AJ397*0.15+AK397*0.23+AL397*0.15+AM397*0.15+AN397*0.1+AO397*0.1+AP397*0.07+AR397*0.05,3),IF(E397="PE",ROUND(AJ397*0.15+AK397*0.23+AL397*0.15+AM397*0.15+AN397*0.08+AO397*0.1+AQ397*0.09+AR397*0.05,3),""))</f>
        <v/>
      </c>
      <c r="AT397" s="6">
        <f>IFERROR(ROUND(AS397/(AH397+0.0001),3),"")</f>
        <v/>
      </c>
      <c r="AU397" s="6">
        <f>IFERROR(ROUND(AS397/(AI397/1000),3),"")</f>
        <v/>
      </c>
    </row>
    <row r="398">
      <c r="AS398" s="6">
        <f>IF(E398="FE",ROUND(AJ398*0.15+AK398*0.23+AL398*0.15+AM398*0.15+AN398*0.1+AO398*0.1+AP398*0.07+AR398*0.05,3),IF(E398="PE",ROUND(AJ398*0.15+AK398*0.23+AL398*0.15+AM398*0.15+AN398*0.08+AO398*0.1+AQ398*0.09+AR398*0.05,3),""))</f>
        <v/>
      </c>
      <c r="AT398" s="6">
        <f>IFERROR(ROUND(AS398/(AH398+0.0001),3),"")</f>
        <v/>
      </c>
      <c r="AU398" s="6">
        <f>IFERROR(ROUND(AS398/(AI398/1000),3),"")</f>
        <v/>
      </c>
    </row>
    <row r="399">
      <c r="AS399" s="6">
        <f>IF(E399="FE",ROUND(AJ399*0.15+AK399*0.23+AL399*0.15+AM399*0.15+AN399*0.1+AO399*0.1+AP399*0.07+AR399*0.05,3),IF(E399="PE",ROUND(AJ399*0.15+AK399*0.23+AL399*0.15+AM399*0.15+AN399*0.08+AO399*0.1+AQ399*0.09+AR399*0.05,3),""))</f>
        <v/>
      </c>
      <c r="AT399" s="6">
        <f>IFERROR(ROUND(AS399/(AH399+0.0001),3),"")</f>
        <v/>
      </c>
      <c r="AU399" s="6">
        <f>IFERROR(ROUND(AS399/(AI399/1000),3),"")</f>
        <v/>
      </c>
    </row>
    <row r="400">
      <c r="AS400" s="6">
        <f>IF(E400="FE",ROUND(AJ400*0.15+AK400*0.23+AL400*0.15+AM400*0.15+AN400*0.1+AO400*0.1+AP400*0.07+AR400*0.05,3),IF(E400="PE",ROUND(AJ400*0.15+AK400*0.23+AL400*0.15+AM400*0.15+AN400*0.08+AO400*0.1+AQ400*0.09+AR400*0.05,3),""))</f>
        <v/>
      </c>
      <c r="AT400" s="6">
        <f>IFERROR(ROUND(AS400/(AH400+0.0001),3),"")</f>
        <v/>
      </c>
      <c r="AU400" s="6">
        <f>IFERROR(ROUND(AS400/(AI400/1000),3),"")</f>
        <v/>
      </c>
    </row>
    <row r="401">
      <c r="AS401" s="6">
        <f>IF(E401="FE",ROUND(AJ401*0.15+AK401*0.23+AL401*0.15+AM401*0.15+AN401*0.1+AO401*0.1+AP401*0.07+AR401*0.05,3),IF(E401="PE",ROUND(AJ401*0.15+AK401*0.23+AL401*0.15+AM401*0.15+AN401*0.08+AO401*0.1+AQ401*0.09+AR401*0.05,3),""))</f>
        <v/>
      </c>
      <c r="AT401" s="6">
        <f>IFERROR(ROUND(AS401/(AH401+0.0001),3),"")</f>
        <v/>
      </c>
      <c r="AU401" s="6">
        <f>IFERROR(ROUND(AS401/(AI401/1000),3),"")</f>
        <v/>
      </c>
    </row>
    <row r="402">
      <c r="AS402" s="6">
        <f>IF(E402="FE",ROUND(AJ402*0.15+AK402*0.23+AL402*0.15+AM402*0.15+AN402*0.1+AO402*0.1+AP402*0.07+AR402*0.05,3),IF(E402="PE",ROUND(AJ402*0.15+AK402*0.23+AL402*0.15+AM402*0.15+AN402*0.08+AO402*0.1+AQ402*0.09+AR402*0.05,3),""))</f>
        <v/>
      </c>
      <c r="AT402" s="6">
        <f>IFERROR(ROUND(AS402/(AH402+0.0001),3),"")</f>
        <v/>
      </c>
      <c r="AU402" s="6">
        <f>IFERROR(ROUND(AS402/(AI402/1000),3),"")</f>
        <v/>
      </c>
    </row>
    <row r="403">
      <c r="AS403" s="6">
        <f>IF(E403="FE",ROUND(AJ403*0.15+AK403*0.23+AL403*0.15+AM403*0.15+AN403*0.1+AO403*0.1+AP403*0.07+AR403*0.05,3),IF(E403="PE",ROUND(AJ403*0.15+AK403*0.23+AL403*0.15+AM403*0.15+AN403*0.08+AO403*0.1+AQ403*0.09+AR403*0.05,3),""))</f>
        <v/>
      </c>
      <c r="AT403" s="6">
        <f>IFERROR(ROUND(AS403/(AH403+0.0001),3),"")</f>
        <v/>
      </c>
      <c r="AU403" s="6">
        <f>IFERROR(ROUND(AS403/(AI403/1000),3),"")</f>
        <v/>
      </c>
    </row>
    <row r="404">
      <c r="AS404" s="6">
        <f>IF(E404="FE",ROUND(AJ404*0.15+AK404*0.23+AL404*0.15+AM404*0.15+AN404*0.1+AO404*0.1+AP404*0.07+AR404*0.05,3),IF(E404="PE",ROUND(AJ404*0.15+AK404*0.23+AL404*0.15+AM404*0.15+AN404*0.08+AO404*0.1+AQ404*0.09+AR404*0.05,3),""))</f>
        <v/>
      </c>
      <c r="AT404" s="6">
        <f>IFERROR(ROUND(AS404/(AH404+0.0001),3),"")</f>
        <v/>
      </c>
      <c r="AU404" s="6">
        <f>IFERROR(ROUND(AS404/(AI404/1000),3),"")</f>
        <v/>
      </c>
    </row>
    <row r="405">
      <c r="AS405" s="6">
        <f>IF(E405="FE",ROUND(AJ405*0.15+AK405*0.23+AL405*0.15+AM405*0.15+AN405*0.1+AO405*0.1+AP405*0.07+AR405*0.05,3),IF(E405="PE",ROUND(AJ405*0.15+AK405*0.23+AL405*0.15+AM405*0.15+AN405*0.08+AO405*0.1+AQ405*0.09+AR405*0.05,3),""))</f>
        <v/>
      </c>
      <c r="AT405" s="6">
        <f>IFERROR(ROUND(AS405/(AH405+0.0001),3),"")</f>
        <v/>
      </c>
      <c r="AU405" s="6">
        <f>IFERROR(ROUND(AS405/(AI405/1000),3),"")</f>
        <v/>
      </c>
    </row>
    <row r="406">
      <c r="AS406" s="6">
        <f>IF(E406="FE",ROUND(AJ406*0.15+AK406*0.23+AL406*0.15+AM406*0.15+AN406*0.1+AO406*0.1+AP406*0.07+AR406*0.05,3),IF(E406="PE",ROUND(AJ406*0.15+AK406*0.23+AL406*0.15+AM406*0.15+AN406*0.08+AO406*0.1+AQ406*0.09+AR406*0.05,3),""))</f>
        <v/>
      </c>
      <c r="AT406" s="6">
        <f>IFERROR(ROUND(AS406/(AH406+0.0001),3),"")</f>
        <v/>
      </c>
      <c r="AU406" s="6">
        <f>IFERROR(ROUND(AS406/(AI406/1000),3),"")</f>
        <v/>
      </c>
    </row>
    <row r="407">
      <c r="AS407" s="6">
        <f>IF(E407="FE",ROUND(AJ407*0.15+AK407*0.23+AL407*0.15+AM407*0.15+AN407*0.1+AO407*0.1+AP407*0.07+AR407*0.05,3),IF(E407="PE",ROUND(AJ407*0.15+AK407*0.23+AL407*0.15+AM407*0.15+AN407*0.08+AO407*0.1+AQ407*0.09+AR407*0.05,3),""))</f>
        <v/>
      </c>
      <c r="AT407" s="6">
        <f>IFERROR(ROUND(AS407/(AH407+0.0001),3),"")</f>
        <v/>
      </c>
      <c r="AU407" s="6">
        <f>IFERROR(ROUND(AS407/(AI407/1000),3),"")</f>
        <v/>
      </c>
    </row>
    <row r="408">
      <c r="AS408" s="6">
        <f>IF(E408="FE",ROUND(AJ408*0.15+AK408*0.23+AL408*0.15+AM408*0.15+AN408*0.1+AO408*0.1+AP408*0.07+AR408*0.05,3),IF(E408="PE",ROUND(AJ408*0.15+AK408*0.23+AL408*0.15+AM408*0.15+AN408*0.08+AO408*0.1+AQ408*0.09+AR408*0.05,3),""))</f>
        <v/>
      </c>
      <c r="AT408" s="6">
        <f>IFERROR(ROUND(AS408/(AH408+0.0001),3),"")</f>
        <v/>
      </c>
      <c r="AU408" s="6">
        <f>IFERROR(ROUND(AS408/(AI408/1000),3),"")</f>
        <v/>
      </c>
    </row>
    <row r="409">
      <c r="AS409" s="6">
        <f>IF(E409="FE",ROUND(AJ409*0.15+AK409*0.23+AL409*0.15+AM409*0.15+AN409*0.1+AO409*0.1+AP409*0.07+AR409*0.05,3),IF(E409="PE",ROUND(AJ409*0.15+AK409*0.23+AL409*0.15+AM409*0.15+AN409*0.08+AO409*0.1+AQ409*0.09+AR409*0.05,3),""))</f>
        <v/>
      </c>
      <c r="AT409" s="6">
        <f>IFERROR(ROUND(AS409/(AH409+0.0001),3),"")</f>
        <v/>
      </c>
      <c r="AU409" s="6">
        <f>IFERROR(ROUND(AS409/(AI409/1000),3),"")</f>
        <v/>
      </c>
    </row>
    <row r="410">
      <c r="AS410" s="6">
        <f>IF(E410="FE",ROUND(AJ410*0.15+AK410*0.23+AL410*0.15+AM410*0.15+AN410*0.1+AO410*0.1+AP410*0.07+AR410*0.05,3),IF(E410="PE",ROUND(AJ410*0.15+AK410*0.23+AL410*0.15+AM410*0.15+AN410*0.08+AO410*0.1+AQ410*0.09+AR410*0.05,3),""))</f>
        <v/>
      </c>
      <c r="AT410" s="6">
        <f>IFERROR(ROUND(AS410/(AH410+0.0001),3),"")</f>
        <v/>
      </c>
      <c r="AU410" s="6">
        <f>IFERROR(ROUND(AS410/(AI410/1000),3),"")</f>
        <v/>
      </c>
    </row>
    <row r="411">
      <c r="AS411" s="6">
        <f>IF(E411="FE",ROUND(AJ411*0.15+AK411*0.23+AL411*0.15+AM411*0.15+AN411*0.1+AO411*0.1+AP411*0.07+AR411*0.05,3),IF(E411="PE",ROUND(AJ411*0.15+AK411*0.23+AL411*0.15+AM411*0.15+AN411*0.08+AO411*0.1+AQ411*0.09+AR411*0.05,3),""))</f>
        <v/>
      </c>
      <c r="AT411" s="6">
        <f>IFERROR(ROUND(AS411/(AH411+0.0001),3),"")</f>
        <v/>
      </c>
      <c r="AU411" s="6">
        <f>IFERROR(ROUND(AS411/(AI411/1000),3),"")</f>
        <v/>
      </c>
    </row>
    <row r="412">
      <c r="AS412" s="6">
        <f>IF(E412="FE",ROUND(AJ412*0.15+AK412*0.23+AL412*0.15+AM412*0.15+AN412*0.1+AO412*0.1+AP412*0.07+AR412*0.05,3),IF(E412="PE",ROUND(AJ412*0.15+AK412*0.23+AL412*0.15+AM412*0.15+AN412*0.08+AO412*0.1+AQ412*0.09+AR412*0.05,3),""))</f>
        <v/>
      </c>
      <c r="AT412" s="6">
        <f>IFERROR(ROUND(AS412/(AH412+0.0001),3),"")</f>
        <v/>
      </c>
      <c r="AU412" s="6">
        <f>IFERROR(ROUND(AS412/(AI412/1000),3),"")</f>
        <v/>
      </c>
    </row>
    <row r="413">
      <c r="AS413" s="6">
        <f>IF(E413="FE",ROUND(AJ413*0.15+AK413*0.23+AL413*0.15+AM413*0.15+AN413*0.1+AO413*0.1+AP413*0.07+AR413*0.05,3),IF(E413="PE",ROUND(AJ413*0.15+AK413*0.23+AL413*0.15+AM413*0.15+AN413*0.08+AO413*0.1+AQ413*0.09+AR413*0.05,3),""))</f>
        <v/>
      </c>
      <c r="AT413" s="6">
        <f>IFERROR(ROUND(AS413/(AH413+0.0001),3),"")</f>
        <v/>
      </c>
      <c r="AU413" s="6">
        <f>IFERROR(ROUND(AS413/(AI413/1000),3),"")</f>
        <v/>
      </c>
    </row>
    <row r="414">
      <c r="AS414" s="6">
        <f>IF(E414="FE",ROUND(AJ414*0.15+AK414*0.23+AL414*0.15+AM414*0.15+AN414*0.1+AO414*0.1+AP414*0.07+AR414*0.05,3),IF(E414="PE",ROUND(AJ414*0.15+AK414*0.23+AL414*0.15+AM414*0.15+AN414*0.08+AO414*0.1+AQ414*0.09+AR414*0.05,3),""))</f>
        <v/>
      </c>
      <c r="AT414" s="6">
        <f>IFERROR(ROUND(AS414/(AH414+0.0001),3),"")</f>
        <v/>
      </c>
      <c r="AU414" s="6">
        <f>IFERROR(ROUND(AS414/(AI414/1000),3),"")</f>
        <v/>
      </c>
    </row>
    <row r="415">
      <c r="AS415" s="6">
        <f>IF(E415="FE",ROUND(AJ415*0.15+AK415*0.23+AL415*0.15+AM415*0.15+AN415*0.1+AO415*0.1+AP415*0.07+AR415*0.05,3),IF(E415="PE",ROUND(AJ415*0.15+AK415*0.23+AL415*0.15+AM415*0.15+AN415*0.08+AO415*0.1+AQ415*0.09+AR415*0.05,3),""))</f>
        <v/>
      </c>
      <c r="AT415" s="6">
        <f>IFERROR(ROUND(AS415/(AH415+0.0001),3),"")</f>
        <v/>
      </c>
      <c r="AU415" s="6">
        <f>IFERROR(ROUND(AS415/(AI415/1000),3),"")</f>
        <v/>
      </c>
    </row>
    <row r="416">
      <c r="AS416" s="6">
        <f>IF(E416="FE",ROUND(AJ416*0.15+AK416*0.23+AL416*0.15+AM416*0.15+AN416*0.1+AO416*0.1+AP416*0.07+AR416*0.05,3),IF(E416="PE",ROUND(AJ416*0.15+AK416*0.23+AL416*0.15+AM416*0.15+AN416*0.08+AO416*0.1+AQ416*0.09+AR416*0.05,3),""))</f>
        <v/>
      </c>
      <c r="AT416" s="6">
        <f>IFERROR(ROUND(AS416/(AH416+0.0001),3),"")</f>
        <v/>
      </c>
      <c r="AU416" s="6">
        <f>IFERROR(ROUND(AS416/(AI416/1000),3),"")</f>
        <v/>
      </c>
    </row>
    <row r="417">
      <c r="AS417" s="6">
        <f>IF(E417="FE",ROUND(AJ417*0.15+AK417*0.23+AL417*0.15+AM417*0.15+AN417*0.1+AO417*0.1+AP417*0.07+AR417*0.05,3),IF(E417="PE",ROUND(AJ417*0.15+AK417*0.23+AL417*0.15+AM417*0.15+AN417*0.08+AO417*0.1+AQ417*0.09+AR417*0.05,3),""))</f>
        <v/>
      </c>
      <c r="AT417" s="6">
        <f>IFERROR(ROUND(AS417/(AH417+0.0001),3),"")</f>
        <v/>
      </c>
      <c r="AU417" s="6">
        <f>IFERROR(ROUND(AS417/(AI417/1000),3),"")</f>
        <v/>
      </c>
    </row>
    <row r="418">
      <c r="AS418" s="6">
        <f>IF(E418="FE",ROUND(AJ418*0.15+AK418*0.23+AL418*0.15+AM418*0.15+AN418*0.1+AO418*0.1+AP418*0.07+AR418*0.05,3),IF(E418="PE",ROUND(AJ418*0.15+AK418*0.23+AL418*0.15+AM418*0.15+AN418*0.08+AO418*0.1+AQ418*0.09+AR418*0.05,3),""))</f>
        <v/>
      </c>
      <c r="AT418" s="6">
        <f>IFERROR(ROUND(AS418/(AH418+0.0001),3),"")</f>
        <v/>
      </c>
      <c r="AU418" s="6">
        <f>IFERROR(ROUND(AS418/(AI418/1000),3),"")</f>
        <v/>
      </c>
    </row>
    <row r="419">
      <c r="AS419" s="6">
        <f>IF(E419="FE",ROUND(AJ419*0.15+AK419*0.23+AL419*0.15+AM419*0.15+AN419*0.1+AO419*0.1+AP419*0.07+AR419*0.05,3),IF(E419="PE",ROUND(AJ419*0.15+AK419*0.23+AL419*0.15+AM419*0.15+AN419*0.08+AO419*0.1+AQ419*0.09+AR419*0.05,3),""))</f>
        <v/>
      </c>
      <c r="AT419" s="6">
        <f>IFERROR(ROUND(AS419/(AH419+0.0001),3),"")</f>
        <v/>
      </c>
      <c r="AU419" s="6">
        <f>IFERROR(ROUND(AS419/(AI419/1000),3),"")</f>
        <v/>
      </c>
    </row>
    <row r="420">
      <c r="AS420" s="6">
        <f>IF(E420="FE",ROUND(AJ420*0.15+AK420*0.23+AL420*0.15+AM420*0.15+AN420*0.1+AO420*0.1+AP420*0.07+AR420*0.05,3),IF(E420="PE",ROUND(AJ420*0.15+AK420*0.23+AL420*0.15+AM420*0.15+AN420*0.08+AO420*0.1+AQ420*0.09+AR420*0.05,3),""))</f>
        <v/>
      </c>
      <c r="AT420" s="6">
        <f>IFERROR(ROUND(AS420/(AH420+0.0001),3),"")</f>
        <v/>
      </c>
      <c r="AU420" s="6">
        <f>IFERROR(ROUND(AS420/(AI420/1000),3),"")</f>
        <v/>
      </c>
    </row>
    <row r="421">
      <c r="AS421" s="6">
        <f>IF(E421="FE",ROUND(AJ421*0.15+AK421*0.23+AL421*0.15+AM421*0.15+AN421*0.1+AO421*0.1+AP421*0.07+AR421*0.05,3),IF(E421="PE",ROUND(AJ421*0.15+AK421*0.23+AL421*0.15+AM421*0.15+AN421*0.08+AO421*0.1+AQ421*0.09+AR421*0.05,3),""))</f>
        <v/>
      </c>
      <c r="AT421" s="6">
        <f>IFERROR(ROUND(AS421/(AH421+0.0001),3),"")</f>
        <v/>
      </c>
      <c r="AU421" s="6">
        <f>IFERROR(ROUND(AS421/(AI421/1000),3),"")</f>
        <v/>
      </c>
    </row>
    <row r="422">
      <c r="AS422" s="6">
        <f>IF(E422="FE",ROUND(AJ422*0.15+AK422*0.23+AL422*0.15+AM422*0.15+AN422*0.1+AO422*0.1+AP422*0.07+AR422*0.05,3),IF(E422="PE",ROUND(AJ422*0.15+AK422*0.23+AL422*0.15+AM422*0.15+AN422*0.08+AO422*0.1+AQ422*0.09+AR422*0.05,3),""))</f>
        <v/>
      </c>
      <c r="AT422" s="6">
        <f>IFERROR(ROUND(AS422/(AH422+0.0001),3),"")</f>
        <v/>
      </c>
      <c r="AU422" s="6">
        <f>IFERROR(ROUND(AS422/(AI422/1000),3),"")</f>
        <v/>
      </c>
    </row>
    <row r="423">
      <c r="AS423" s="6">
        <f>IF(E423="FE",ROUND(AJ423*0.15+AK423*0.23+AL423*0.15+AM423*0.15+AN423*0.1+AO423*0.1+AP423*0.07+AR423*0.05,3),IF(E423="PE",ROUND(AJ423*0.15+AK423*0.23+AL423*0.15+AM423*0.15+AN423*0.08+AO423*0.1+AQ423*0.09+AR423*0.05,3),""))</f>
        <v/>
      </c>
      <c r="AT423" s="6">
        <f>IFERROR(ROUND(AS423/(AH423+0.0001),3),"")</f>
        <v/>
      </c>
      <c r="AU423" s="6">
        <f>IFERROR(ROUND(AS423/(AI423/1000),3),"")</f>
        <v/>
      </c>
    </row>
    <row r="424">
      <c r="AS424" s="6">
        <f>IF(E424="FE",ROUND(AJ424*0.15+AK424*0.23+AL424*0.15+AM424*0.15+AN424*0.1+AO424*0.1+AP424*0.07+AR424*0.05,3),IF(E424="PE",ROUND(AJ424*0.15+AK424*0.23+AL424*0.15+AM424*0.15+AN424*0.08+AO424*0.1+AQ424*0.09+AR424*0.05,3),""))</f>
        <v/>
      </c>
      <c r="AT424" s="6">
        <f>IFERROR(ROUND(AS424/(AH424+0.0001),3),"")</f>
        <v/>
      </c>
      <c r="AU424" s="6">
        <f>IFERROR(ROUND(AS424/(AI424/1000),3),"")</f>
        <v/>
      </c>
    </row>
    <row r="425">
      <c r="AS425" s="6">
        <f>IF(E425="FE",ROUND(AJ425*0.15+AK425*0.23+AL425*0.15+AM425*0.15+AN425*0.1+AO425*0.1+AP425*0.07+AR425*0.05,3),IF(E425="PE",ROUND(AJ425*0.15+AK425*0.23+AL425*0.15+AM425*0.15+AN425*0.08+AO425*0.1+AQ425*0.09+AR425*0.05,3),""))</f>
        <v/>
      </c>
      <c r="AT425" s="6">
        <f>IFERROR(ROUND(AS425/(AH425+0.0001),3),"")</f>
        <v/>
      </c>
      <c r="AU425" s="6">
        <f>IFERROR(ROUND(AS425/(AI425/1000),3),"")</f>
        <v/>
      </c>
    </row>
    <row r="426">
      <c r="AS426" s="6">
        <f>IF(E426="FE",ROUND(AJ426*0.15+AK426*0.23+AL426*0.15+AM426*0.15+AN426*0.1+AO426*0.1+AP426*0.07+AR426*0.05,3),IF(E426="PE",ROUND(AJ426*0.15+AK426*0.23+AL426*0.15+AM426*0.15+AN426*0.08+AO426*0.1+AQ426*0.09+AR426*0.05,3),""))</f>
        <v/>
      </c>
      <c r="AT426" s="6">
        <f>IFERROR(ROUND(AS426/(AH426+0.0001),3),"")</f>
        <v/>
      </c>
      <c r="AU426" s="6">
        <f>IFERROR(ROUND(AS426/(AI426/1000),3),"")</f>
        <v/>
      </c>
    </row>
    <row r="427">
      <c r="AS427" s="6">
        <f>IF(E427="FE",ROUND(AJ427*0.15+AK427*0.23+AL427*0.15+AM427*0.15+AN427*0.1+AO427*0.1+AP427*0.07+AR427*0.05,3),IF(E427="PE",ROUND(AJ427*0.15+AK427*0.23+AL427*0.15+AM427*0.15+AN427*0.08+AO427*0.1+AQ427*0.09+AR427*0.05,3),""))</f>
        <v/>
      </c>
      <c r="AT427" s="6">
        <f>IFERROR(ROUND(AS427/(AH427+0.0001),3),"")</f>
        <v/>
      </c>
      <c r="AU427" s="6">
        <f>IFERROR(ROUND(AS427/(AI427/1000),3),"")</f>
        <v/>
      </c>
    </row>
    <row r="428">
      <c r="AS428" s="6">
        <f>IF(E428="FE",ROUND(AJ428*0.15+AK428*0.23+AL428*0.15+AM428*0.15+AN428*0.1+AO428*0.1+AP428*0.07+AR428*0.05,3),IF(E428="PE",ROUND(AJ428*0.15+AK428*0.23+AL428*0.15+AM428*0.15+AN428*0.08+AO428*0.1+AQ428*0.09+AR428*0.05,3),""))</f>
        <v/>
      </c>
      <c r="AT428" s="6">
        <f>IFERROR(ROUND(AS428/(AH428+0.0001),3),"")</f>
        <v/>
      </c>
      <c r="AU428" s="6">
        <f>IFERROR(ROUND(AS428/(AI428/1000),3),"")</f>
        <v/>
      </c>
    </row>
    <row r="429">
      <c r="AS429" s="6">
        <f>IF(E429="FE",ROUND(AJ429*0.15+AK429*0.23+AL429*0.15+AM429*0.15+AN429*0.1+AO429*0.1+AP429*0.07+AR429*0.05,3),IF(E429="PE",ROUND(AJ429*0.15+AK429*0.23+AL429*0.15+AM429*0.15+AN429*0.08+AO429*0.1+AQ429*0.09+AR429*0.05,3),""))</f>
        <v/>
      </c>
      <c r="AT429" s="6">
        <f>IFERROR(ROUND(AS429/(AH429+0.0001),3),"")</f>
        <v/>
      </c>
      <c r="AU429" s="6">
        <f>IFERROR(ROUND(AS429/(AI429/1000),3),"")</f>
        <v/>
      </c>
    </row>
    <row r="430">
      <c r="AS430" s="6">
        <f>IF(E430="FE",ROUND(AJ430*0.15+AK430*0.23+AL430*0.15+AM430*0.15+AN430*0.1+AO430*0.1+AP430*0.07+AR430*0.05,3),IF(E430="PE",ROUND(AJ430*0.15+AK430*0.23+AL430*0.15+AM430*0.15+AN430*0.08+AO430*0.1+AQ430*0.09+AR430*0.05,3),""))</f>
        <v/>
      </c>
      <c r="AT430" s="6">
        <f>IFERROR(ROUND(AS430/(AH430+0.0001),3),"")</f>
        <v/>
      </c>
      <c r="AU430" s="6">
        <f>IFERROR(ROUND(AS430/(AI430/1000),3),"")</f>
        <v/>
      </c>
    </row>
    <row r="431">
      <c r="AS431" s="6">
        <f>IF(E431="FE",ROUND(AJ431*0.15+AK431*0.23+AL431*0.15+AM431*0.15+AN431*0.1+AO431*0.1+AP431*0.07+AR431*0.05,3),IF(E431="PE",ROUND(AJ431*0.15+AK431*0.23+AL431*0.15+AM431*0.15+AN431*0.08+AO431*0.1+AQ431*0.09+AR431*0.05,3),""))</f>
        <v/>
      </c>
      <c r="AT431" s="6">
        <f>IFERROR(ROUND(AS431/(AH431+0.0001),3),"")</f>
        <v/>
      </c>
      <c r="AU431" s="6">
        <f>IFERROR(ROUND(AS431/(AI431/1000),3),"")</f>
        <v/>
      </c>
    </row>
    <row r="432">
      <c r="AS432" s="6">
        <f>IF(E432="FE",ROUND(AJ432*0.15+AK432*0.23+AL432*0.15+AM432*0.15+AN432*0.1+AO432*0.1+AP432*0.07+AR432*0.05,3),IF(E432="PE",ROUND(AJ432*0.15+AK432*0.23+AL432*0.15+AM432*0.15+AN432*0.08+AO432*0.1+AQ432*0.09+AR432*0.05,3),""))</f>
        <v/>
      </c>
      <c r="AT432" s="6">
        <f>IFERROR(ROUND(AS432/(AH432+0.0001),3),"")</f>
        <v/>
      </c>
      <c r="AU432" s="6">
        <f>IFERROR(ROUND(AS432/(AI432/1000),3),"")</f>
        <v/>
      </c>
    </row>
    <row r="433">
      <c r="AS433" s="6">
        <f>IF(E433="FE",ROUND(AJ433*0.15+AK433*0.23+AL433*0.15+AM433*0.15+AN433*0.1+AO433*0.1+AP433*0.07+AR433*0.05,3),IF(E433="PE",ROUND(AJ433*0.15+AK433*0.23+AL433*0.15+AM433*0.15+AN433*0.08+AO433*0.1+AQ433*0.09+AR433*0.05,3),""))</f>
        <v/>
      </c>
      <c r="AT433" s="6">
        <f>IFERROR(ROUND(AS433/(AH433+0.0001),3),"")</f>
        <v/>
      </c>
      <c r="AU433" s="6">
        <f>IFERROR(ROUND(AS433/(AI433/1000),3),"")</f>
        <v/>
      </c>
    </row>
    <row r="434">
      <c r="AS434" s="6">
        <f>IF(E434="FE",ROUND(AJ434*0.15+AK434*0.23+AL434*0.15+AM434*0.15+AN434*0.1+AO434*0.1+AP434*0.07+AR434*0.05,3),IF(E434="PE",ROUND(AJ434*0.15+AK434*0.23+AL434*0.15+AM434*0.15+AN434*0.08+AO434*0.1+AQ434*0.09+AR434*0.05,3),""))</f>
        <v/>
      </c>
      <c r="AT434" s="6">
        <f>IFERROR(ROUND(AS434/(AH434+0.0001),3),"")</f>
        <v/>
      </c>
      <c r="AU434" s="6">
        <f>IFERROR(ROUND(AS434/(AI434/1000),3),"")</f>
        <v/>
      </c>
    </row>
    <row r="435">
      <c r="AS435" s="6">
        <f>IF(E435="FE",ROUND(AJ435*0.15+AK435*0.23+AL435*0.15+AM435*0.15+AN435*0.1+AO435*0.1+AP435*0.07+AR435*0.05,3),IF(E435="PE",ROUND(AJ435*0.15+AK435*0.23+AL435*0.15+AM435*0.15+AN435*0.08+AO435*0.1+AQ435*0.09+AR435*0.05,3),""))</f>
        <v/>
      </c>
      <c r="AT435" s="6">
        <f>IFERROR(ROUND(AS435/(AH435+0.0001),3),"")</f>
        <v/>
      </c>
      <c r="AU435" s="6">
        <f>IFERROR(ROUND(AS435/(AI435/1000),3),"")</f>
        <v/>
      </c>
    </row>
    <row r="436">
      <c r="AS436" s="6">
        <f>IF(E436="FE",ROUND(AJ436*0.15+AK436*0.23+AL436*0.15+AM436*0.15+AN436*0.1+AO436*0.1+AP436*0.07+AR436*0.05,3),IF(E436="PE",ROUND(AJ436*0.15+AK436*0.23+AL436*0.15+AM436*0.15+AN436*0.08+AO436*0.1+AQ436*0.09+AR436*0.05,3),""))</f>
        <v/>
      </c>
      <c r="AT436" s="6">
        <f>IFERROR(ROUND(AS436/(AH436+0.0001),3),"")</f>
        <v/>
      </c>
      <c r="AU436" s="6">
        <f>IFERROR(ROUND(AS436/(AI436/1000),3),"")</f>
        <v/>
      </c>
    </row>
    <row r="437">
      <c r="AS437" s="6">
        <f>IF(E437="FE",ROUND(AJ437*0.15+AK437*0.23+AL437*0.15+AM437*0.15+AN437*0.1+AO437*0.1+AP437*0.07+AR437*0.05,3),IF(E437="PE",ROUND(AJ437*0.15+AK437*0.23+AL437*0.15+AM437*0.15+AN437*0.08+AO437*0.1+AQ437*0.09+AR437*0.05,3),""))</f>
        <v/>
      </c>
      <c r="AT437" s="6">
        <f>IFERROR(ROUND(AS437/(AH437+0.0001),3),"")</f>
        <v/>
      </c>
      <c r="AU437" s="6">
        <f>IFERROR(ROUND(AS437/(AI437/1000),3),"")</f>
        <v/>
      </c>
    </row>
    <row r="438">
      <c r="AS438" s="6">
        <f>IF(E438="FE",ROUND(AJ438*0.15+AK438*0.23+AL438*0.15+AM438*0.15+AN438*0.1+AO438*0.1+AP438*0.07+AR438*0.05,3),IF(E438="PE",ROUND(AJ438*0.15+AK438*0.23+AL438*0.15+AM438*0.15+AN438*0.08+AO438*0.1+AQ438*0.09+AR438*0.05,3),""))</f>
        <v/>
      </c>
      <c r="AT438" s="6">
        <f>IFERROR(ROUND(AS438/(AH438+0.0001),3),"")</f>
        <v/>
      </c>
      <c r="AU438" s="6">
        <f>IFERROR(ROUND(AS438/(AI438/1000),3),"")</f>
        <v/>
      </c>
    </row>
    <row r="439">
      <c r="AS439" s="6">
        <f>IF(E439="FE",ROUND(AJ439*0.15+AK439*0.23+AL439*0.15+AM439*0.15+AN439*0.1+AO439*0.1+AP439*0.07+AR439*0.05,3),IF(E439="PE",ROUND(AJ439*0.15+AK439*0.23+AL439*0.15+AM439*0.15+AN439*0.08+AO439*0.1+AQ439*0.09+AR439*0.05,3),""))</f>
        <v/>
      </c>
      <c r="AT439" s="6">
        <f>IFERROR(ROUND(AS439/(AH439+0.0001),3),"")</f>
        <v/>
      </c>
      <c r="AU439" s="6">
        <f>IFERROR(ROUND(AS439/(AI439/1000),3),"")</f>
        <v/>
      </c>
    </row>
    <row r="440">
      <c r="AS440" s="6">
        <f>IF(E440="FE",ROUND(AJ440*0.15+AK440*0.23+AL440*0.15+AM440*0.15+AN440*0.1+AO440*0.1+AP440*0.07+AR440*0.05,3),IF(E440="PE",ROUND(AJ440*0.15+AK440*0.23+AL440*0.15+AM440*0.15+AN440*0.08+AO440*0.1+AQ440*0.09+AR440*0.05,3),""))</f>
        <v/>
      </c>
      <c r="AT440" s="6">
        <f>IFERROR(ROUND(AS440/(AH440+0.0001),3),"")</f>
        <v/>
      </c>
      <c r="AU440" s="6">
        <f>IFERROR(ROUND(AS440/(AI440/1000),3),"")</f>
        <v/>
      </c>
    </row>
    <row r="441">
      <c r="AS441" s="6">
        <f>IF(E441="FE",ROUND(AJ441*0.15+AK441*0.23+AL441*0.15+AM441*0.15+AN441*0.1+AO441*0.1+AP441*0.07+AR441*0.05,3),IF(E441="PE",ROUND(AJ441*0.15+AK441*0.23+AL441*0.15+AM441*0.15+AN441*0.08+AO441*0.1+AQ441*0.09+AR441*0.05,3),""))</f>
        <v/>
      </c>
      <c r="AT441" s="6">
        <f>IFERROR(ROUND(AS441/(AH441+0.0001),3),"")</f>
        <v/>
      </c>
      <c r="AU441" s="6">
        <f>IFERROR(ROUND(AS441/(AI441/1000),3),"")</f>
        <v/>
      </c>
    </row>
    <row r="442">
      <c r="AS442" s="6">
        <f>IF(E442="FE",ROUND(AJ442*0.15+AK442*0.23+AL442*0.15+AM442*0.15+AN442*0.1+AO442*0.1+AP442*0.07+AR442*0.05,3),IF(E442="PE",ROUND(AJ442*0.15+AK442*0.23+AL442*0.15+AM442*0.15+AN442*0.08+AO442*0.1+AQ442*0.09+AR442*0.05,3),""))</f>
        <v/>
      </c>
      <c r="AT442" s="6">
        <f>IFERROR(ROUND(AS442/(AH442+0.0001),3),"")</f>
        <v/>
      </c>
      <c r="AU442" s="6">
        <f>IFERROR(ROUND(AS442/(AI442/1000),3),"")</f>
        <v/>
      </c>
    </row>
    <row r="443">
      <c r="AS443" s="6">
        <f>IF(E443="FE",ROUND(AJ443*0.15+AK443*0.23+AL443*0.15+AM443*0.15+AN443*0.1+AO443*0.1+AP443*0.07+AR443*0.05,3),IF(E443="PE",ROUND(AJ443*0.15+AK443*0.23+AL443*0.15+AM443*0.15+AN443*0.08+AO443*0.1+AQ443*0.09+AR443*0.05,3),""))</f>
        <v/>
      </c>
      <c r="AT443" s="6">
        <f>IFERROR(ROUND(AS443/(AH443+0.0001),3),"")</f>
        <v/>
      </c>
      <c r="AU443" s="6">
        <f>IFERROR(ROUND(AS443/(AI443/1000),3),"")</f>
        <v/>
      </c>
    </row>
    <row r="444">
      <c r="AS444" s="6">
        <f>IF(E444="FE",ROUND(AJ444*0.15+AK444*0.23+AL444*0.15+AM444*0.15+AN444*0.1+AO444*0.1+AP444*0.07+AR444*0.05,3),IF(E444="PE",ROUND(AJ444*0.15+AK444*0.23+AL444*0.15+AM444*0.15+AN444*0.08+AO444*0.1+AQ444*0.09+AR444*0.05,3),""))</f>
        <v/>
      </c>
      <c r="AT444" s="6">
        <f>IFERROR(ROUND(AS444/(AH444+0.0001),3),"")</f>
        <v/>
      </c>
      <c r="AU444" s="6">
        <f>IFERROR(ROUND(AS444/(AI444/1000),3),"")</f>
        <v/>
      </c>
    </row>
    <row r="445">
      <c r="AS445" s="6">
        <f>IF(E445="FE",ROUND(AJ445*0.15+AK445*0.23+AL445*0.15+AM445*0.15+AN445*0.1+AO445*0.1+AP445*0.07+AR445*0.05,3),IF(E445="PE",ROUND(AJ445*0.15+AK445*0.23+AL445*0.15+AM445*0.15+AN445*0.08+AO445*0.1+AQ445*0.09+AR445*0.05,3),""))</f>
        <v/>
      </c>
      <c r="AT445" s="6">
        <f>IFERROR(ROUND(AS445/(AH445+0.0001),3),"")</f>
        <v/>
      </c>
      <c r="AU445" s="6">
        <f>IFERROR(ROUND(AS445/(AI445/1000),3),"")</f>
        <v/>
      </c>
    </row>
    <row r="446">
      <c r="AS446" s="6">
        <f>IF(E446="FE",ROUND(AJ446*0.15+AK446*0.23+AL446*0.15+AM446*0.15+AN446*0.1+AO446*0.1+AP446*0.07+AR446*0.05,3),IF(E446="PE",ROUND(AJ446*0.15+AK446*0.23+AL446*0.15+AM446*0.15+AN446*0.08+AO446*0.1+AQ446*0.09+AR446*0.05,3),""))</f>
        <v/>
      </c>
      <c r="AT446" s="6">
        <f>IFERROR(ROUND(AS446/(AH446+0.0001),3),"")</f>
        <v/>
      </c>
      <c r="AU446" s="6">
        <f>IFERROR(ROUND(AS446/(AI446/1000),3),"")</f>
        <v/>
      </c>
    </row>
    <row r="447">
      <c r="AS447" s="6">
        <f>IF(E447="FE",ROUND(AJ447*0.15+AK447*0.23+AL447*0.15+AM447*0.15+AN447*0.1+AO447*0.1+AP447*0.07+AR447*0.05,3),IF(E447="PE",ROUND(AJ447*0.15+AK447*0.23+AL447*0.15+AM447*0.15+AN447*0.08+AO447*0.1+AQ447*0.09+AR447*0.05,3),""))</f>
        <v/>
      </c>
      <c r="AT447" s="6">
        <f>IFERROR(ROUND(AS447/(AH447+0.0001),3),"")</f>
        <v/>
      </c>
      <c r="AU447" s="6">
        <f>IFERROR(ROUND(AS447/(AI447/1000),3),"")</f>
        <v/>
      </c>
    </row>
    <row r="448">
      <c r="AS448" s="6">
        <f>IF(E448="FE",ROUND(AJ448*0.15+AK448*0.23+AL448*0.15+AM448*0.15+AN448*0.1+AO448*0.1+AP448*0.07+AR448*0.05,3),IF(E448="PE",ROUND(AJ448*0.15+AK448*0.23+AL448*0.15+AM448*0.15+AN448*0.08+AO448*0.1+AQ448*0.09+AR448*0.05,3),""))</f>
        <v/>
      </c>
      <c r="AT448" s="6">
        <f>IFERROR(ROUND(AS448/(AH448+0.0001),3),"")</f>
        <v/>
      </c>
      <c r="AU448" s="6">
        <f>IFERROR(ROUND(AS448/(AI448/1000),3),"")</f>
        <v/>
      </c>
    </row>
    <row r="449">
      <c r="AS449" s="6">
        <f>IF(E449="FE",ROUND(AJ449*0.15+AK449*0.23+AL449*0.15+AM449*0.15+AN449*0.1+AO449*0.1+AP449*0.07+AR449*0.05,3),IF(E449="PE",ROUND(AJ449*0.15+AK449*0.23+AL449*0.15+AM449*0.15+AN449*0.08+AO449*0.1+AQ449*0.09+AR449*0.05,3),""))</f>
        <v/>
      </c>
      <c r="AT449" s="6">
        <f>IFERROR(ROUND(AS449/(AH449+0.0001),3),"")</f>
        <v/>
      </c>
      <c r="AU449" s="6">
        <f>IFERROR(ROUND(AS449/(AI449/1000),3),"")</f>
        <v/>
      </c>
    </row>
    <row r="450">
      <c r="AS450" s="6">
        <f>IF(E450="FE",ROUND(AJ450*0.15+AK450*0.23+AL450*0.15+AM450*0.15+AN450*0.1+AO450*0.1+AP450*0.07+AR450*0.05,3),IF(E450="PE",ROUND(AJ450*0.15+AK450*0.23+AL450*0.15+AM450*0.15+AN450*0.08+AO450*0.1+AQ450*0.09+AR450*0.05,3),""))</f>
        <v/>
      </c>
      <c r="AT450" s="6">
        <f>IFERROR(ROUND(AS450/(AH450+0.0001),3),"")</f>
        <v/>
      </c>
      <c r="AU450" s="6">
        <f>IFERROR(ROUND(AS450/(AI450/1000),3),"")</f>
        <v/>
      </c>
    </row>
    <row r="451">
      <c r="AS451" s="6">
        <f>IF(E451="FE",ROUND(AJ451*0.15+AK451*0.23+AL451*0.15+AM451*0.15+AN451*0.1+AO451*0.1+AP451*0.07+AR451*0.05,3),IF(E451="PE",ROUND(AJ451*0.15+AK451*0.23+AL451*0.15+AM451*0.15+AN451*0.08+AO451*0.1+AQ451*0.09+AR451*0.05,3),""))</f>
        <v/>
      </c>
      <c r="AT451" s="6">
        <f>IFERROR(ROUND(AS451/(AH451+0.0001),3),"")</f>
        <v/>
      </c>
      <c r="AU451" s="6">
        <f>IFERROR(ROUND(AS451/(AI451/1000),3),"")</f>
        <v/>
      </c>
    </row>
    <row r="452">
      <c r="AS452" s="6">
        <f>IF(E452="FE",ROUND(AJ452*0.15+AK452*0.23+AL452*0.15+AM452*0.15+AN452*0.1+AO452*0.1+AP452*0.07+AR452*0.05,3),IF(E452="PE",ROUND(AJ452*0.15+AK452*0.23+AL452*0.15+AM452*0.15+AN452*0.08+AO452*0.1+AQ452*0.09+AR452*0.05,3),""))</f>
        <v/>
      </c>
      <c r="AT452" s="6">
        <f>IFERROR(ROUND(AS452/(AH452+0.0001),3),"")</f>
        <v/>
      </c>
      <c r="AU452" s="6">
        <f>IFERROR(ROUND(AS452/(AI452/1000),3),"")</f>
        <v/>
      </c>
    </row>
    <row r="453">
      <c r="AS453" s="6">
        <f>IF(E453="FE",ROUND(AJ453*0.15+AK453*0.23+AL453*0.15+AM453*0.15+AN453*0.1+AO453*0.1+AP453*0.07+AR453*0.05,3),IF(E453="PE",ROUND(AJ453*0.15+AK453*0.23+AL453*0.15+AM453*0.15+AN453*0.08+AO453*0.1+AQ453*0.09+AR453*0.05,3),""))</f>
        <v/>
      </c>
      <c r="AT453" s="6">
        <f>IFERROR(ROUND(AS453/(AH453+0.0001),3),"")</f>
        <v/>
      </c>
      <c r="AU453" s="6">
        <f>IFERROR(ROUND(AS453/(AI453/1000),3),"")</f>
        <v/>
      </c>
    </row>
    <row r="454">
      <c r="AS454" s="6">
        <f>IF(E454="FE",ROUND(AJ454*0.15+AK454*0.23+AL454*0.15+AM454*0.15+AN454*0.1+AO454*0.1+AP454*0.07+AR454*0.05,3),IF(E454="PE",ROUND(AJ454*0.15+AK454*0.23+AL454*0.15+AM454*0.15+AN454*0.08+AO454*0.1+AQ454*0.09+AR454*0.05,3),""))</f>
        <v/>
      </c>
      <c r="AT454" s="6">
        <f>IFERROR(ROUND(AS454/(AH454+0.0001),3),"")</f>
        <v/>
      </c>
      <c r="AU454" s="6">
        <f>IFERROR(ROUND(AS454/(AI454/1000),3),"")</f>
        <v/>
      </c>
    </row>
    <row r="455">
      <c r="AS455" s="6">
        <f>IF(E455="FE",ROUND(AJ455*0.15+AK455*0.23+AL455*0.15+AM455*0.15+AN455*0.1+AO455*0.1+AP455*0.07+AR455*0.05,3),IF(E455="PE",ROUND(AJ455*0.15+AK455*0.23+AL455*0.15+AM455*0.15+AN455*0.08+AO455*0.1+AQ455*0.09+AR455*0.05,3),""))</f>
        <v/>
      </c>
      <c r="AT455" s="6">
        <f>IFERROR(ROUND(AS455/(AH455+0.0001),3),"")</f>
        <v/>
      </c>
      <c r="AU455" s="6">
        <f>IFERROR(ROUND(AS455/(AI455/1000),3),"")</f>
        <v/>
      </c>
    </row>
    <row r="456">
      <c r="AS456" s="6">
        <f>IF(E456="FE",ROUND(AJ456*0.15+AK456*0.23+AL456*0.15+AM456*0.15+AN456*0.1+AO456*0.1+AP456*0.07+AR456*0.05,3),IF(E456="PE",ROUND(AJ456*0.15+AK456*0.23+AL456*0.15+AM456*0.15+AN456*0.08+AO456*0.1+AQ456*0.09+AR456*0.05,3),""))</f>
        <v/>
      </c>
      <c r="AT456" s="6">
        <f>IFERROR(ROUND(AS456/(AH456+0.0001),3),"")</f>
        <v/>
      </c>
      <c r="AU456" s="6">
        <f>IFERROR(ROUND(AS456/(AI456/1000),3),"")</f>
        <v/>
      </c>
    </row>
    <row r="457">
      <c r="AS457" s="6">
        <f>IF(E457="FE",ROUND(AJ457*0.15+AK457*0.23+AL457*0.15+AM457*0.15+AN457*0.1+AO457*0.1+AP457*0.07+AR457*0.05,3),IF(E457="PE",ROUND(AJ457*0.15+AK457*0.23+AL457*0.15+AM457*0.15+AN457*0.08+AO457*0.1+AQ457*0.09+AR457*0.05,3),""))</f>
        <v/>
      </c>
      <c r="AT457" s="6">
        <f>IFERROR(ROUND(AS457/(AH457+0.0001),3),"")</f>
        <v/>
      </c>
      <c r="AU457" s="6">
        <f>IFERROR(ROUND(AS457/(AI457/1000),3),"")</f>
        <v/>
      </c>
    </row>
    <row r="458">
      <c r="AS458" s="6">
        <f>IF(E458="FE",ROUND(AJ458*0.15+AK458*0.23+AL458*0.15+AM458*0.15+AN458*0.1+AO458*0.1+AP458*0.07+AR458*0.05,3),IF(E458="PE",ROUND(AJ458*0.15+AK458*0.23+AL458*0.15+AM458*0.15+AN458*0.08+AO458*0.1+AQ458*0.09+AR458*0.05,3),""))</f>
        <v/>
      </c>
      <c r="AT458" s="6">
        <f>IFERROR(ROUND(AS458/(AH458+0.0001),3),"")</f>
        <v/>
      </c>
      <c r="AU458" s="6">
        <f>IFERROR(ROUND(AS458/(AI458/1000),3),"")</f>
        <v/>
      </c>
    </row>
    <row r="459">
      <c r="AS459" s="6">
        <f>IF(E459="FE",ROUND(AJ459*0.15+AK459*0.23+AL459*0.15+AM459*0.15+AN459*0.1+AO459*0.1+AP459*0.07+AR459*0.05,3),IF(E459="PE",ROUND(AJ459*0.15+AK459*0.23+AL459*0.15+AM459*0.15+AN459*0.08+AO459*0.1+AQ459*0.09+AR459*0.05,3),""))</f>
        <v/>
      </c>
      <c r="AT459" s="6">
        <f>IFERROR(ROUND(AS459/(AH459+0.0001),3),"")</f>
        <v/>
      </c>
      <c r="AU459" s="6">
        <f>IFERROR(ROUND(AS459/(AI459/1000),3),"")</f>
        <v/>
      </c>
    </row>
    <row r="460">
      <c r="AS460" s="6">
        <f>IF(E460="FE",ROUND(AJ460*0.15+AK460*0.23+AL460*0.15+AM460*0.15+AN460*0.1+AO460*0.1+AP460*0.07+AR460*0.05,3),IF(E460="PE",ROUND(AJ460*0.15+AK460*0.23+AL460*0.15+AM460*0.15+AN460*0.08+AO460*0.1+AQ460*0.09+AR460*0.05,3),""))</f>
        <v/>
      </c>
      <c r="AT460" s="6">
        <f>IFERROR(ROUND(AS460/(AH460+0.0001),3),"")</f>
        <v/>
      </c>
      <c r="AU460" s="6">
        <f>IFERROR(ROUND(AS460/(AI460/1000),3),"")</f>
        <v/>
      </c>
    </row>
    <row r="461">
      <c r="AS461" s="6">
        <f>IF(E461="FE",ROUND(AJ461*0.15+AK461*0.23+AL461*0.15+AM461*0.15+AN461*0.1+AO461*0.1+AP461*0.07+AR461*0.05,3),IF(E461="PE",ROUND(AJ461*0.15+AK461*0.23+AL461*0.15+AM461*0.15+AN461*0.08+AO461*0.1+AQ461*0.09+AR461*0.05,3),""))</f>
        <v/>
      </c>
      <c r="AT461" s="6">
        <f>IFERROR(ROUND(AS461/(AH461+0.0001),3),"")</f>
        <v/>
      </c>
      <c r="AU461" s="6">
        <f>IFERROR(ROUND(AS461/(AI461/1000),3),"")</f>
        <v/>
      </c>
    </row>
    <row r="462">
      <c r="AS462" s="6">
        <f>IF(E462="FE",ROUND(AJ462*0.15+AK462*0.23+AL462*0.15+AM462*0.15+AN462*0.1+AO462*0.1+AP462*0.07+AR462*0.05,3),IF(E462="PE",ROUND(AJ462*0.15+AK462*0.23+AL462*0.15+AM462*0.15+AN462*0.08+AO462*0.1+AQ462*0.09+AR462*0.05,3),""))</f>
        <v/>
      </c>
      <c r="AT462" s="6">
        <f>IFERROR(ROUND(AS462/(AH462+0.0001),3),"")</f>
        <v/>
      </c>
      <c r="AU462" s="6">
        <f>IFERROR(ROUND(AS462/(AI462/1000),3),"")</f>
        <v/>
      </c>
    </row>
    <row r="463">
      <c r="AS463" s="6">
        <f>IF(E463="FE",ROUND(AJ463*0.15+AK463*0.23+AL463*0.15+AM463*0.15+AN463*0.1+AO463*0.1+AP463*0.07+AR463*0.05,3),IF(E463="PE",ROUND(AJ463*0.15+AK463*0.23+AL463*0.15+AM463*0.15+AN463*0.08+AO463*0.1+AQ463*0.09+AR463*0.05,3),""))</f>
        <v/>
      </c>
      <c r="AT463" s="6">
        <f>IFERROR(ROUND(AS463/(AH463+0.0001),3),"")</f>
        <v/>
      </c>
      <c r="AU463" s="6">
        <f>IFERROR(ROUND(AS463/(AI463/1000),3),"")</f>
        <v/>
      </c>
    </row>
    <row r="464">
      <c r="AS464" s="6">
        <f>IF(E464="FE",ROUND(AJ464*0.15+AK464*0.23+AL464*0.15+AM464*0.15+AN464*0.1+AO464*0.1+AP464*0.07+AR464*0.05,3),IF(E464="PE",ROUND(AJ464*0.15+AK464*0.23+AL464*0.15+AM464*0.15+AN464*0.08+AO464*0.1+AQ464*0.09+AR464*0.05,3),""))</f>
        <v/>
      </c>
      <c r="AT464" s="6">
        <f>IFERROR(ROUND(AS464/(AH464+0.0001),3),"")</f>
        <v/>
      </c>
      <c r="AU464" s="6">
        <f>IFERROR(ROUND(AS464/(AI464/1000),3),"")</f>
        <v/>
      </c>
    </row>
    <row r="465">
      <c r="AS465" s="6">
        <f>IF(E465="FE",ROUND(AJ465*0.15+AK465*0.23+AL465*0.15+AM465*0.15+AN465*0.1+AO465*0.1+AP465*0.07+AR465*0.05,3),IF(E465="PE",ROUND(AJ465*0.15+AK465*0.23+AL465*0.15+AM465*0.15+AN465*0.08+AO465*0.1+AQ465*0.09+AR465*0.05,3),""))</f>
        <v/>
      </c>
      <c r="AT465" s="6">
        <f>IFERROR(ROUND(AS465/(AH465+0.0001),3),"")</f>
        <v/>
      </c>
      <c r="AU465" s="6">
        <f>IFERROR(ROUND(AS465/(AI465/1000),3),"")</f>
        <v/>
      </c>
    </row>
    <row r="466">
      <c r="AS466" s="6">
        <f>IF(E466="FE",ROUND(AJ466*0.15+AK466*0.23+AL466*0.15+AM466*0.15+AN466*0.1+AO466*0.1+AP466*0.07+AR466*0.05,3),IF(E466="PE",ROUND(AJ466*0.15+AK466*0.23+AL466*0.15+AM466*0.15+AN466*0.08+AO466*0.1+AQ466*0.09+AR466*0.05,3),""))</f>
        <v/>
      </c>
      <c r="AT466" s="6">
        <f>IFERROR(ROUND(AS466/(AH466+0.0001),3),"")</f>
        <v/>
      </c>
      <c r="AU466" s="6">
        <f>IFERROR(ROUND(AS466/(AI466/1000),3),"")</f>
        <v/>
      </c>
    </row>
    <row r="467">
      <c r="AS467" s="6">
        <f>IF(E467="FE",ROUND(AJ467*0.15+AK467*0.23+AL467*0.15+AM467*0.15+AN467*0.1+AO467*0.1+AP467*0.07+AR467*0.05,3),IF(E467="PE",ROUND(AJ467*0.15+AK467*0.23+AL467*0.15+AM467*0.15+AN467*0.08+AO467*0.1+AQ467*0.09+AR467*0.05,3),""))</f>
        <v/>
      </c>
      <c r="AT467" s="6">
        <f>IFERROR(ROUND(AS467/(AH467+0.0001),3),"")</f>
        <v/>
      </c>
      <c r="AU467" s="6">
        <f>IFERROR(ROUND(AS467/(AI467/1000),3),"")</f>
        <v/>
      </c>
    </row>
    <row r="468">
      <c r="AS468" s="6">
        <f>IF(E468="FE",ROUND(AJ468*0.15+AK468*0.23+AL468*0.15+AM468*0.15+AN468*0.1+AO468*0.1+AP468*0.07+AR468*0.05,3),IF(E468="PE",ROUND(AJ468*0.15+AK468*0.23+AL468*0.15+AM468*0.15+AN468*0.08+AO468*0.1+AQ468*0.09+AR468*0.05,3),""))</f>
        <v/>
      </c>
      <c r="AT468" s="6">
        <f>IFERROR(ROUND(AS468/(AH468+0.0001),3),"")</f>
        <v/>
      </c>
      <c r="AU468" s="6">
        <f>IFERROR(ROUND(AS468/(AI468/1000),3),"")</f>
        <v/>
      </c>
    </row>
    <row r="469">
      <c r="AS469" s="6">
        <f>IF(E469="FE",ROUND(AJ469*0.15+AK469*0.23+AL469*0.15+AM469*0.15+AN469*0.1+AO469*0.1+AP469*0.07+AR469*0.05,3),IF(E469="PE",ROUND(AJ469*0.15+AK469*0.23+AL469*0.15+AM469*0.15+AN469*0.08+AO469*0.1+AQ469*0.09+AR469*0.05,3),""))</f>
        <v/>
      </c>
      <c r="AT469" s="6">
        <f>IFERROR(ROUND(AS469/(AH469+0.0001),3),"")</f>
        <v/>
      </c>
      <c r="AU469" s="6">
        <f>IFERROR(ROUND(AS469/(AI469/1000),3),"")</f>
        <v/>
      </c>
    </row>
    <row r="470">
      <c r="AS470" s="6">
        <f>IF(E470="FE",ROUND(AJ470*0.15+AK470*0.23+AL470*0.15+AM470*0.15+AN470*0.1+AO470*0.1+AP470*0.07+AR470*0.05,3),IF(E470="PE",ROUND(AJ470*0.15+AK470*0.23+AL470*0.15+AM470*0.15+AN470*0.08+AO470*0.1+AQ470*0.09+AR470*0.05,3),""))</f>
        <v/>
      </c>
      <c r="AT470" s="6">
        <f>IFERROR(ROUND(AS470/(AH470+0.0001),3),"")</f>
        <v/>
      </c>
      <c r="AU470" s="6">
        <f>IFERROR(ROUND(AS470/(AI470/1000),3),"")</f>
        <v/>
      </c>
    </row>
    <row r="471">
      <c r="AS471" s="6">
        <f>IF(E471="FE",ROUND(AJ471*0.15+AK471*0.23+AL471*0.15+AM471*0.15+AN471*0.1+AO471*0.1+AP471*0.07+AR471*0.05,3),IF(E471="PE",ROUND(AJ471*0.15+AK471*0.23+AL471*0.15+AM471*0.15+AN471*0.08+AO471*0.1+AQ471*0.09+AR471*0.05,3),""))</f>
        <v/>
      </c>
      <c r="AT471" s="6">
        <f>IFERROR(ROUND(AS471/(AH471+0.0001),3),"")</f>
        <v/>
      </c>
      <c r="AU471" s="6">
        <f>IFERROR(ROUND(AS471/(AI471/1000),3),"")</f>
        <v/>
      </c>
    </row>
    <row r="472">
      <c r="AS472" s="6">
        <f>IF(E472="FE",ROUND(AJ472*0.15+AK472*0.23+AL472*0.15+AM472*0.15+AN472*0.1+AO472*0.1+AP472*0.07+AR472*0.05,3),IF(E472="PE",ROUND(AJ472*0.15+AK472*0.23+AL472*0.15+AM472*0.15+AN472*0.08+AO472*0.1+AQ472*0.09+AR472*0.05,3),""))</f>
        <v/>
      </c>
      <c r="AT472" s="6">
        <f>IFERROR(ROUND(AS472/(AH472+0.0001),3),"")</f>
        <v/>
      </c>
      <c r="AU472" s="6">
        <f>IFERROR(ROUND(AS472/(AI472/1000),3),"")</f>
        <v/>
      </c>
    </row>
    <row r="473">
      <c r="AS473" s="6">
        <f>IF(E473="FE",ROUND(AJ473*0.15+AK473*0.23+AL473*0.15+AM473*0.15+AN473*0.1+AO473*0.1+AP473*0.07+AR473*0.05,3),IF(E473="PE",ROUND(AJ473*0.15+AK473*0.23+AL473*0.15+AM473*0.15+AN473*0.08+AO473*0.1+AQ473*0.09+AR473*0.05,3),""))</f>
        <v/>
      </c>
      <c r="AT473" s="6">
        <f>IFERROR(ROUND(AS473/(AH473+0.0001),3),"")</f>
        <v/>
      </c>
      <c r="AU473" s="6">
        <f>IFERROR(ROUND(AS473/(AI473/1000),3),"")</f>
        <v/>
      </c>
    </row>
    <row r="474">
      <c r="AS474" s="6">
        <f>IF(E474="FE",ROUND(AJ474*0.15+AK474*0.23+AL474*0.15+AM474*0.15+AN474*0.1+AO474*0.1+AP474*0.07+AR474*0.05,3),IF(E474="PE",ROUND(AJ474*0.15+AK474*0.23+AL474*0.15+AM474*0.15+AN474*0.08+AO474*0.1+AQ474*0.09+AR474*0.05,3),""))</f>
        <v/>
      </c>
      <c r="AT474" s="6">
        <f>IFERROR(ROUND(AS474/(AH474+0.0001),3),"")</f>
        <v/>
      </c>
      <c r="AU474" s="6">
        <f>IFERROR(ROUND(AS474/(AI474/1000),3),"")</f>
        <v/>
      </c>
    </row>
    <row r="475">
      <c r="AS475" s="6">
        <f>IF(E475="FE",ROUND(AJ475*0.15+AK475*0.23+AL475*0.15+AM475*0.15+AN475*0.1+AO475*0.1+AP475*0.07+AR475*0.05,3),IF(E475="PE",ROUND(AJ475*0.15+AK475*0.23+AL475*0.15+AM475*0.15+AN475*0.08+AO475*0.1+AQ475*0.09+AR475*0.05,3),""))</f>
        <v/>
      </c>
      <c r="AT475" s="6">
        <f>IFERROR(ROUND(AS475/(AH475+0.0001),3),"")</f>
        <v/>
      </c>
      <c r="AU475" s="6">
        <f>IFERROR(ROUND(AS475/(AI475/1000),3),"")</f>
        <v/>
      </c>
    </row>
    <row r="476">
      <c r="AS476" s="6">
        <f>IF(E476="FE",ROUND(AJ476*0.15+AK476*0.23+AL476*0.15+AM476*0.15+AN476*0.1+AO476*0.1+AP476*0.07+AR476*0.05,3),IF(E476="PE",ROUND(AJ476*0.15+AK476*0.23+AL476*0.15+AM476*0.15+AN476*0.08+AO476*0.1+AQ476*0.09+AR476*0.05,3),""))</f>
        <v/>
      </c>
      <c r="AT476" s="6">
        <f>IFERROR(ROUND(AS476/(AH476+0.0001),3),"")</f>
        <v/>
      </c>
      <c r="AU476" s="6">
        <f>IFERROR(ROUND(AS476/(AI476/1000),3),"")</f>
        <v/>
      </c>
    </row>
    <row r="477">
      <c r="AS477" s="6">
        <f>IF(E477="FE",ROUND(AJ477*0.15+AK477*0.23+AL477*0.15+AM477*0.15+AN477*0.1+AO477*0.1+AP477*0.07+AR477*0.05,3),IF(E477="PE",ROUND(AJ477*0.15+AK477*0.23+AL477*0.15+AM477*0.15+AN477*0.08+AO477*0.1+AQ477*0.09+AR477*0.05,3),""))</f>
        <v/>
      </c>
      <c r="AT477" s="6">
        <f>IFERROR(ROUND(AS477/(AH477+0.0001),3),"")</f>
        <v/>
      </c>
      <c r="AU477" s="6">
        <f>IFERROR(ROUND(AS477/(AI477/1000),3),"")</f>
        <v/>
      </c>
    </row>
    <row r="478">
      <c r="AS478" s="6">
        <f>IF(E478="FE",ROUND(AJ478*0.15+AK478*0.23+AL478*0.15+AM478*0.15+AN478*0.1+AO478*0.1+AP478*0.07+AR478*0.05,3),IF(E478="PE",ROUND(AJ478*0.15+AK478*0.23+AL478*0.15+AM478*0.15+AN478*0.08+AO478*0.1+AQ478*0.09+AR478*0.05,3),""))</f>
        <v/>
      </c>
      <c r="AT478" s="6">
        <f>IFERROR(ROUND(AS478/(AH478+0.0001),3),"")</f>
        <v/>
      </c>
      <c r="AU478" s="6">
        <f>IFERROR(ROUND(AS478/(AI478/1000),3),"")</f>
        <v/>
      </c>
    </row>
    <row r="479">
      <c r="AS479" s="6">
        <f>IF(E479="FE",ROUND(AJ479*0.15+AK479*0.23+AL479*0.15+AM479*0.15+AN479*0.1+AO479*0.1+AP479*0.07+AR479*0.05,3),IF(E479="PE",ROUND(AJ479*0.15+AK479*0.23+AL479*0.15+AM479*0.15+AN479*0.08+AO479*0.1+AQ479*0.09+AR479*0.05,3),""))</f>
        <v/>
      </c>
      <c r="AT479" s="6">
        <f>IFERROR(ROUND(AS479/(AH479+0.0001),3),"")</f>
        <v/>
      </c>
      <c r="AU479" s="6">
        <f>IFERROR(ROUND(AS479/(AI479/1000),3),"")</f>
        <v/>
      </c>
    </row>
    <row r="480">
      <c r="AS480" s="6">
        <f>IF(E480="FE",ROUND(AJ480*0.15+AK480*0.23+AL480*0.15+AM480*0.15+AN480*0.1+AO480*0.1+AP480*0.07+AR480*0.05,3),IF(E480="PE",ROUND(AJ480*0.15+AK480*0.23+AL480*0.15+AM480*0.15+AN480*0.08+AO480*0.1+AQ480*0.09+AR480*0.05,3),""))</f>
        <v/>
      </c>
      <c r="AT480" s="6">
        <f>IFERROR(ROUND(AS480/(AH480+0.0001),3),"")</f>
        <v/>
      </c>
      <c r="AU480" s="6">
        <f>IFERROR(ROUND(AS480/(AI480/1000),3),"")</f>
        <v/>
      </c>
    </row>
    <row r="481">
      <c r="AS481" s="6">
        <f>IF(E481="FE",ROUND(AJ481*0.15+AK481*0.23+AL481*0.15+AM481*0.15+AN481*0.1+AO481*0.1+AP481*0.07+AR481*0.05,3),IF(E481="PE",ROUND(AJ481*0.15+AK481*0.23+AL481*0.15+AM481*0.15+AN481*0.08+AO481*0.1+AQ481*0.09+AR481*0.05,3),""))</f>
        <v/>
      </c>
      <c r="AT481" s="6">
        <f>IFERROR(ROUND(AS481/(AH481+0.0001),3),"")</f>
        <v/>
      </c>
      <c r="AU481" s="6">
        <f>IFERROR(ROUND(AS481/(AI481/1000),3),"")</f>
        <v/>
      </c>
    </row>
    <row r="482">
      <c r="AS482" s="6">
        <f>IF(E482="FE",ROUND(AJ482*0.15+AK482*0.23+AL482*0.15+AM482*0.15+AN482*0.1+AO482*0.1+AP482*0.07+AR482*0.05,3),IF(E482="PE",ROUND(AJ482*0.15+AK482*0.23+AL482*0.15+AM482*0.15+AN482*0.08+AO482*0.1+AQ482*0.09+AR482*0.05,3),""))</f>
        <v/>
      </c>
      <c r="AT482" s="6">
        <f>IFERROR(ROUND(AS482/(AH482+0.0001),3),"")</f>
        <v/>
      </c>
      <c r="AU482" s="6">
        <f>IFERROR(ROUND(AS482/(AI482/1000),3),"")</f>
        <v/>
      </c>
    </row>
    <row r="483">
      <c r="AS483" s="6">
        <f>IF(E483="FE",ROUND(AJ483*0.15+AK483*0.23+AL483*0.15+AM483*0.15+AN483*0.1+AO483*0.1+AP483*0.07+AR483*0.05,3),IF(E483="PE",ROUND(AJ483*0.15+AK483*0.23+AL483*0.15+AM483*0.15+AN483*0.08+AO483*0.1+AQ483*0.09+AR483*0.05,3),""))</f>
        <v/>
      </c>
      <c r="AT483" s="6">
        <f>IFERROR(ROUND(AS483/(AH483+0.0001),3),"")</f>
        <v/>
      </c>
      <c r="AU483" s="6">
        <f>IFERROR(ROUND(AS483/(AI483/1000),3),"")</f>
        <v/>
      </c>
    </row>
    <row r="484">
      <c r="AS484" s="6">
        <f>IF(E484="FE",ROUND(AJ484*0.15+AK484*0.23+AL484*0.15+AM484*0.15+AN484*0.1+AO484*0.1+AP484*0.07+AR484*0.05,3),IF(E484="PE",ROUND(AJ484*0.15+AK484*0.23+AL484*0.15+AM484*0.15+AN484*0.08+AO484*0.1+AQ484*0.09+AR484*0.05,3),""))</f>
        <v/>
      </c>
      <c r="AT484" s="6">
        <f>IFERROR(ROUND(AS484/(AH484+0.0001),3),"")</f>
        <v/>
      </c>
      <c r="AU484" s="6">
        <f>IFERROR(ROUND(AS484/(AI484/1000),3),"")</f>
        <v/>
      </c>
    </row>
    <row r="485">
      <c r="AS485" s="6">
        <f>IF(E485="FE",ROUND(AJ485*0.15+AK485*0.23+AL485*0.15+AM485*0.15+AN485*0.1+AO485*0.1+AP485*0.07+AR485*0.05,3),IF(E485="PE",ROUND(AJ485*0.15+AK485*0.23+AL485*0.15+AM485*0.15+AN485*0.08+AO485*0.1+AQ485*0.09+AR485*0.05,3),""))</f>
        <v/>
      </c>
      <c r="AT485" s="6">
        <f>IFERROR(ROUND(AS485/(AH485+0.0001),3),"")</f>
        <v/>
      </c>
      <c r="AU485" s="6">
        <f>IFERROR(ROUND(AS485/(AI485/1000),3),"")</f>
        <v/>
      </c>
    </row>
    <row r="486">
      <c r="AS486" s="6">
        <f>IF(E486="FE",ROUND(AJ486*0.15+AK486*0.23+AL486*0.15+AM486*0.15+AN486*0.1+AO486*0.1+AP486*0.07+AR486*0.05,3),IF(E486="PE",ROUND(AJ486*0.15+AK486*0.23+AL486*0.15+AM486*0.15+AN486*0.08+AO486*0.1+AQ486*0.09+AR486*0.05,3),""))</f>
        <v/>
      </c>
      <c r="AT486" s="6">
        <f>IFERROR(ROUND(AS486/(AH486+0.0001),3),"")</f>
        <v/>
      </c>
      <c r="AU486" s="6">
        <f>IFERROR(ROUND(AS486/(AI486/1000),3),"")</f>
        <v/>
      </c>
    </row>
    <row r="487">
      <c r="AS487" s="6">
        <f>IF(E487="FE",ROUND(AJ487*0.15+AK487*0.23+AL487*0.15+AM487*0.15+AN487*0.1+AO487*0.1+AP487*0.07+AR487*0.05,3),IF(E487="PE",ROUND(AJ487*0.15+AK487*0.23+AL487*0.15+AM487*0.15+AN487*0.08+AO487*0.1+AQ487*0.09+AR487*0.05,3),""))</f>
        <v/>
      </c>
      <c r="AT487" s="6">
        <f>IFERROR(ROUND(AS487/(AH487+0.0001),3),"")</f>
        <v/>
      </c>
      <c r="AU487" s="6">
        <f>IFERROR(ROUND(AS487/(AI487/1000),3),"")</f>
        <v/>
      </c>
    </row>
    <row r="488">
      <c r="AS488" s="6">
        <f>IF(E488="FE",ROUND(AJ488*0.15+AK488*0.23+AL488*0.15+AM488*0.15+AN488*0.1+AO488*0.1+AP488*0.07+AR488*0.05,3),IF(E488="PE",ROUND(AJ488*0.15+AK488*0.23+AL488*0.15+AM488*0.15+AN488*0.08+AO488*0.1+AQ488*0.09+AR488*0.05,3),""))</f>
        <v/>
      </c>
      <c r="AT488" s="6">
        <f>IFERROR(ROUND(AS488/(AH488+0.0001),3),"")</f>
        <v/>
      </c>
      <c r="AU488" s="6">
        <f>IFERROR(ROUND(AS488/(AI488/1000),3),"")</f>
        <v/>
      </c>
    </row>
    <row r="489">
      <c r="AS489" s="6">
        <f>IF(E489="FE",ROUND(AJ489*0.15+AK489*0.23+AL489*0.15+AM489*0.15+AN489*0.1+AO489*0.1+AP489*0.07+AR489*0.05,3),IF(E489="PE",ROUND(AJ489*0.15+AK489*0.23+AL489*0.15+AM489*0.15+AN489*0.08+AO489*0.1+AQ489*0.09+AR489*0.05,3),""))</f>
        <v/>
      </c>
      <c r="AT489" s="6">
        <f>IFERROR(ROUND(AS489/(AH489+0.0001),3),"")</f>
        <v/>
      </c>
      <c r="AU489" s="6">
        <f>IFERROR(ROUND(AS489/(AI489/1000),3),"")</f>
        <v/>
      </c>
    </row>
    <row r="490">
      <c r="AS490" s="6">
        <f>IF(E490="FE",ROUND(AJ490*0.15+AK490*0.23+AL490*0.15+AM490*0.15+AN490*0.1+AO490*0.1+AP490*0.07+AR490*0.05,3),IF(E490="PE",ROUND(AJ490*0.15+AK490*0.23+AL490*0.15+AM490*0.15+AN490*0.08+AO490*0.1+AQ490*0.09+AR490*0.05,3),""))</f>
        <v/>
      </c>
      <c r="AT490" s="6">
        <f>IFERROR(ROUND(AS490/(AH490+0.0001),3),"")</f>
        <v/>
      </c>
      <c r="AU490" s="6">
        <f>IFERROR(ROUND(AS490/(AI490/1000),3),"")</f>
        <v/>
      </c>
    </row>
    <row r="491">
      <c r="AS491" s="6">
        <f>IF(E491="FE",ROUND(AJ491*0.15+AK491*0.23+AL491*0.15+AM491*0.15+AN491*0.1+AO491*0.1+AP491*0.07+AR491*0.05,3),IF(E491="PE",ROUND(AJ491*0.15+AK491*0.23+AL491*0.15+AM491*0.15+AN491*0.08+AO491*0.1+AQ491*0.09+AR491*0.05,3),""))</f>
        <v/>
      </c>
      <c r="AT491" s="6">
        <f>IFERROR(ROUND(AS491/(AH491+0.0001),3),"")</f>
        <v/>
      </c>
      <c r="AU491" s="6">
        <f>IFERROR(ROUND(AS491/(AI491/1000),3),"")</f>
        <v/>
      </c>
    </row>
    <row r="492">
      <c r="AS492" s="6">
        <f>IF(E492="FE",ROUND(AJ492*0.15+AK492*0.23+AL492*0.15+AM492*0.15+AN492*0.1+AO492*0.1+AP492*0.07+AR492*0.05,3),IF(E492="PE",ROUND(AJ492*0.15+AK492*0.23+AL492*0.15+AM492*0.15+AN492*0.08+AO492*0.1+AQ492*0.09+AR492*0.05,3),""))</f>
        <v/>
      </c>
      <c r="AT492" s="6">
        <f>IFERROR(ROUND(AS492/(AH492+0.0001),3),"")</f>
        <v/>
      </c>
      <c r="AU492" s="6">
        <f>IFERROR(ROUND(AS492/(AI492/1000),3),"")</f>
        <v/>
      </c>
    </row>
    <row r="493">
      <c r="AS493" s="6">
        <f>IF(E493="FE",ROUND(AJ493*0.15+AK493*0.23+AL493*0.15+AM493*0.15+AN493*0.1+AO493*0.1+AP493*0.07+AR493*0.05,3),IF(E493="PE",ROUND(AJ493*0.15+AK493*0.23+AL493*0.15+AM493*0.15+AN493*0.08+AO493*0.1+AQ493*0.09+AR493*0.05,3),""))</f>
        <v/>
      </c>
      <c r="AT493" s="6">
        <f>IFERROR(ROUND(AS493/(AH493+0.0001),3),"")</f>
        <v/>
      </c>
      <c r="AU493" s="6">
        <f>IFERROR(ROUND(AS493/(AI493/1000),3),"")</f>
        <v/>
      </c>
    </row>
    <row r="494">
      <c r="AS494" s="6">
        <f>IF(E494="FE",ROUND(AJ494*0.15+AK494*0.23+AL494*0.15+AM494*0.15+AN494*0.1+AO494*0.1+AP494*0.07+AR494*0.05,3),IF(E494="PE",ROUND(AJ494*0.15+AK494*0.23+AL494*0.15+AM494*0.15+AN494*0.08+AO494*0.1+AQ494*0.09+AR494*0.05,3),""))</f>
        <v/>
      </c>
      <c r="AT494" s="6">
        <f>IFERROR(ROUND(AS494/(AH494+0.0001),3),"")</f>
        <v/>
      </c>
      <c r="AU494" s="6">
        <f>IFERROR(ROUND(AS494/(AI494/1000),3),"")</f>
        <v/>
      </c>
    </row>
    <row r="495">
      <c r="AS495" s="6">
        <f>IF(E495="FE",ROUND(AJ495*0.15+AK495*0.23+AL495*0.15+AM495*0.15+AN495*0.1+AO495*0.1+AP495*0.07+AR495*0.05,3),IF(E495="PE",ROUND(AJ495*0.15+AK495*0.23+AL495*0.15+AM495*0.15+AN495*0.08+AO495*0.1+AQ495*0.09+AR495*0.05,3),""))</f>
        <v/>
      </c>
      <c r="AT495" s="6">
        <f>IFERROR(ROUND(AS495/(AH495+0.0001),3),"")</f>
        <v/>
      </c>
      <c r="AU495" s="6">
        <f>IFERROR(ROUND(AS495/(AI495/1000),3),"")</f>
        <v/>
      </c>
    </row>
    <row r="496">
      <c r="AS496" s="6">
        <f>IF(E496="FE",ROUND(AJ496*0.15+AK496*0.23+AL496*0.15+AM496*0.15+AN496*0.1+AO496*0.1+AP496*0.07+AR496*0.05,3),IF(E496="PE",ROUND(AJ496*0.15+AK496*0.23+AL496*0.15+AM496*0.15+AN496*0.08+AO496*0.1+AQ496*0.09+AR496*0.05,3),""))</f>
        <v/>
      </c>
      <c r="AT496" s="6">
        <f>IFERROR(ROUND(AS496/(AH496+0.0001),3),"")</f>
        <v/>
      </c>
      <c r="AU496" s="6">
        <f>IFERROR(ROUND(AS496/(AI496/1000),3),"")</f>
        <v/>
      </c>
    </row>
    <row r="497">
      <c r="AS497" s="6">
        <f>IF(E497="FE",ROUND(AJ497*0.15+AK497*0.23+AL497*0.15+AM497*0.15+AN497*0.1+AO497*0.1+AP497*0.07+AR497*0.05,3),IF(E497="PE",ROUND(AJ497*0.15+AK497*0.23+AL497*0.15+AM497*0.15+AN497*0.08+AO497*0.1+AQ497*0.09+AR497*0.05,3),""))</f>
        <v/>
      </c>
      <c r="AT497" s="6">
        <f>IFERROR(ROUND(AS497/(AH497+0.0001),3),"")</f>
        <v/>
      </c>
      <c r="AU497" s="6">
        <f>IFERROR(ROUND(AS497/(AI497/1000),3),"")</f>
        <v/>
      </c>
    </row>
    <row r="498">
      <c r="AS498" s="6">
        <f>IF(E498="FE",ROUND(AJ498*0.15+AK498*0.23+AL498*0.15+AM498*0.15+AN498*0.1+AO498*0.1+AP498*0.07+AR498*0.05,3),IF(E498="PE",ROUND(AJ498*0.15+AK498*0.23+AL498*0.15+AM498*0.15+AN498*0.08+AO498*0.1+AQ498*0.09+AR498*0.05,3),""))</f>
        <v/>
      </c>
      <c r="AT498" s="6">
        <f>IFERROR(ROUND(AS498/(AH498+0.0001),3),"")</f>
        <v/>
      </c>
      <c r="AU498" s="6">
        <f>IFERROR(ROUND(AS498/(AI498/1000),3),"")</f>
        <v/>
      </c>
    </row>
    <row r="499">
      <c r="AS499" s="6">
        <f>IF(E499="FE",ROUND(AJ499*0.15+AK499*0.23+AL499*0.15+AM499*0.15+AN499*0.1+AO499*0.1+AP499*0.07+AR499*0.05,3),IF(E499="PE",ROUND(AJ499*0.15+AK499*0.23+AL499*0.15+AM499*0.15+AN499*0.08+AO499*0.1+AQ499*0.09+AR499*0.05,3),""))</f>
        <v/>
      </c>
      <c r="AT499" s="6">
        <f>IFERROR(ROUND(AS499/(AH499+0.0001),3),"")</f>
        <v/>
      </c>
      <c r="AU499" s="6">
        <f>IFERROR(ROUND(AS499/(AI499/1000),3),"")</f>
        <v/>
      </c>
    </row>
    <row r="500">
      <c r="AS500" s="6">
        <f>IF(E500="FE",ROUND(AJ500*0.15+AK500*0.23+AL500*0.15+AM500*0.15+AN500*0.1+AO500*0.1+AP500*0.07+AR500*0.05,3),IF(E500="PE",ROUND(AJ500*0.15+AK500*0.23+AL500*0.15+AM500*0.15+AN500*0.08+AO500*0.1+AQ500*0.09+AR500*0.05,3),""))</f>
        <v/>
      </c>
      <c r="AT500" s="6">
        <f>IFERROR(ROUND(AS500/(AH500+0.0001),3),"")</f>
        <v/>
      </c>
      <c r="AU500" s="6">
        <f>IFERROR(ROUND(AS500/(AI500/1000),3),"")</f>
        <v/>
      </c>
    </row>
  </sheetData>
  <autoFilter ref="A1:AX2"/>
  <dataValidations count="7">
    <dataValidation sqref="D2:D500" showDropDown="0" showInputMessage="0" showErrorMessage="0" allowBlank="1" type="list">
      <formula1>=Lists!$A$2:$A$4</formula1>
    </dataValidation>
    <dataValidation sqref="E2:E500" showDropDown="0" showInputMessage="0" showErrorMessage="0" allowBlank="1" type="list">
      <formula1>=Lists!$G$2:$G$4</formula1>
    </dataValidation>
    <dataValidation sqref="F2:F500" showDropDown="0" showInputMessage="0" showErrorMessage="0" allowBlank="1" type="list">
      <formula1>=Lists!$H$2:$H$6</formula1>
    </dataValidation>
    <dataValidation sqref="G2:G500" showDropDown="0" showInputMessage="0" showErrorMessage="0" allowBlank="1" type="list">
      <formula1>=Lists!$I$2:$I$4</formula1>
    </dataValidation>
    <dataValidation sqref="J2:J500" showDropDown="0" showInputMessage="0" showErrorMessage="0" allowBlank="1" type="list">
      <formula1>=Lists!$J$2:$J$4</formula1>
    </dataValidation>
    <dataValidation sqref="K2:K500" showDropDown="0" showInputMessage="0" showErrorMessage="0" allowBlank="1" type="list">
      <formula1>=Lists!$K$2:$K$5</formula1>
    </dataValidation>
    <dataValidation sqref="AV2:AV500" showDropDown="0" showInputMessage="0" showErrorMessage="0" allowBlank="1" type="list">
      <formula1>=Lists!$F$2:$F$4</formula1>
    </dataValidation>
  </dataValidations>
  <pageMargins left="0.75" right="0.75" top="1" bottom="1" header="0.5" footer="0.5"/>
</worksheet>
</file>

<file path=xl/worksheets/sheet5.xml><?xml version="1.0" encoding="utf-8"?>
<worksheet xmlns="http://schemas.openxmlformats.org/spreadsheetml/2006/main">
  <sheetPr>
    <tabColor rgb="00A5A5A5"/>
    <outlinePr summaryBelow="1" summaryRight="1"/>
    <pageSetUpPr/>
  </sheetPr>
  <dimension ref="A1:AH500"/>
  <sheetViews>
    <sheetView showGridLines="1"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14" customWidth="1" min="4" max="4"/>
    <col width="12" customWidth="1" min="5" max="5"/>
    <col width="15" customWidth="1" min="6" max="6"/>
    <col width="15" customWidth="1" min="7" max="7"/>
    <col width="17" customWidth="1" min="8" max="8"/>
    <col width="12" customWidth="1" min="9" max="9"/>
    <col width="16" customWidth="1" min="10" max="10"/>
    <col width="23" customWidth="1" min="11" max="11"/>
    <col width="23" customWidth="1" min="12" max="12"/>
    <col width="18" customWidth="1" min="13" max="13"/>
    <col width="21" customWidth="1" min="14" max="14"/>
    <col width="14" customWidth="1" min="15" max="15"/>
    <col width="15" customWidth="1" min="16" max="16"/>
    <col width="14" customWidth="1" min="17" max="17"/>
    <col width="12" customWidth="1" min="18" max="18"/>
    <col width="12" customWidth="1" min="19" max="19"/>
    <col width="21" customWidth="1" min="20" max="20"/>
    <col width="28" customWidth="1" min="21" max="21"/>
    <col width="28" customWidth="1" min="22" max="22"/>
    <col width="21" customWidth="1" min="23" max="23"/>
    <col width="19" customWidth="1" min="24" max="24"/>
    <col width="23" customWidth="1" min="25" max="25"/>
    <col width="22" customWidth="1" min="26" max="26"/>
    <col width="25" customWidth="1" min="27" max="27"/>
    <col width="23" customWidth="1" min="28" max="28"/>
    <col width="20" customWidth="1" min="29" max="29"/>
    <col width="23" customWidth="1" min="30" max="30"/>
    <col width="25" customWidth="1" min="31" max="31"/>
    <col width="12" customWidth="1" min="32" max="32"/>
    <col width="26" customWidth="1" min="33" max="33"/>
    <col width="30" customWidth="1" min="34" max="34"/>
  </cols>
  <sheetData>
    <row r="1" ht="28" customHeight="1">
      <c r="A1" s="2" t="inlineStr">
        <is>
          <t>run_id</t>
        </is>
      </c>
      <c r="B1" s="2" t="inlineStr">
        <is>
          <t>test_date</t>
        </is>
      </c>
      <c r="C1" s="2" t="inlineStr">
        <is>
          <t>tester</t>
        </is>
      </c>
      <c r="D1" s="2" t="inlineStr">
        <is>
          <t>subject_code</t>
        </is>
      </c>
      <c r="E1" s="2" t="inlineStr">
        <is>
          <t>language</t>
        </is>
      </c>
      <c r="F1" s="2" t="inlineStr">
        <is>
          <t>exercise_type</t>
        </is>
      </c>
      <c r="G1" s="2" t="inlineStr">
        <is>
          <t>submission_id</t>
        </is>
      </c>
      <c r="H1" s="2" t="inlineStr">
        <is>
          <t>submission_size</t>
        </is>
      </c>
      <c r="I1" s="2" t="inlineStr">
        <is>
          <t>file_count</t>
        </is>
      </c>
      <c r="J1" s="2" t="inlineStr">
        <is>
          <t>model</t>
        </is>
      </c>
      <c r="K1" s="2" t="inlineStr">
        <is>
          <t>prompt_version</t>
        </is>
      </c>
      <c r="L1" s="2" t="inlineStr">
        <is>
          <t>rubric_version</t>
        </is>
      </c>
      <c r="M1" s="2" t="inlineStr">
        <is>
          <t>policy_version</t>
        </is>
      </c>
      <c r="N1" s="2" t="inlineStr">
        <is>
          <t>ground_truth_set_id</t>
        </is>
      </c>
      <c r="O1" s="2" t="inlineStr">
        <is>
          <t>input_tokens</t>
        </is>
      </c>
      <c r="P1" s="2" t="inlineStr">
        <is>
          <t>output_tokens</t>
        </is>
      </c>
      <c r="Q1" s="2" t="inlineStr">
        <is>
          <t>total_tokens</t>
        </is>
      </c>
      <c r="R1" s="2" t="inlineStr">
        <is>
          <t>latency_ms</t>
        </is>
      </c>
      <c r="S1" s="2" t="inlineStr">
        <is>
          <t>cost_usd</t>
        </is>
      </c>
      <c r="T1" s="2" t="inlineStr">
        <is>
          <t>bug_detection_score</t>
        </is>
      </c>
      <c r="U1" s="2" t="inlineStr">
        <is>
          <t>correctness_feedback_score</t>
        </is>
      </c>
      <c r="V1" s="2" t="inlineStr">
        <is>
          <t>code_quality_feedback_score</t>
        </is>
      </c>
      <c r="W1" s="2" t="inlineStr">
        <is>
          <t>actionability_score</t>
        </is>
      </c>
      <c r="X1" s="2" t="inlineStr">
        <is>
          <t>specificity_score</t>
        </is>
      </c>
      <c r="Y1" s="2" t="inlineStr">
        <is>
          <t>hallucination_penalty</t>
        </is>
      </c>
      <c r="Z1" s="2" t="inlineStr">
        <is>
          <t>grounded_to_code_score</t>
        </is>
      </c>
      <c r="AA1" s="2" t="inlineStr">
        <is>
          <t>pedagogical_value_score</t>
        </is>
      </c>
      <c r="AB1" s="5" t="inlineStr">
        <is>
          <t>overall_quality_score</t>
        </is>
      </c>
      <c r="AC1" s="5" t="inlineStr">
        <is>
          <t>quality_cost_index</t>
        </is>
      </c>
      <c r="AD1" s="5" t="inlineStr">
        <is>
          <t>quality_latency_index</t>
        </is>
      </c>
      <c r="AE1" s="2" t="inlineStr">
        <is>
          <t>expected_feedback_match</t>
        </is>
      </c>
      <c r="AF1" s="2" t="inlineStr">
        <is>
          <t>pass_fail</t>
        </is>
      </c>
      <c r="AG1" s="2" t="inlineStr">
        <is>
          <t>main_issues</t>
        </is>
      </c>
      <c r="AH1" s="2" t="inlineStr">
        <is>
          <t>notes</t>
        </is>
      </c>
    </row>
    <row r="2">
      <c r="A2" s="3" t="inlineStr">
        <is>
          <t>mentor-2026-07-18-001</t>
        </is>
      </c>
      <c r="B2" s="3" t="inlineStr">
        <is>
          <t>2026-07-18</t>
        </is>
      </c>
      <c r="C2" s="3" t="inlineStr">
        <is>
          <t>Tester_A</t>
        </is>
      </c>
      <c r="D2" s="3" t="inlineStr">
        <is>
          <t>JAVA_OOP</t>
        </is>
      </c>
      <c r="E2" s="3" t="inlineStr">
        <is>
          <t>java</t>
        </is>
      </c>
      <c r="F2" s="3" t="inlineStr">
        <is>
          <t>PE_submission</t>
        </is>
      </c>
      <c r="G2" s="3" t="inlineStr">
        <is>
          <t>sub-java-045</t>
        </is>
      </c>
      <c r="H2" s="3" t="inlineStr">
        <is>
          <t>1860</t>
        </is>
      </c>
      <c r="I2" s="3" t="inlineStr">
        <is>
          <t>3</t>
        </is>
      </c>
      <c r="J2" s="3" t="inlineStr">
        <is>
          <t>gemini-2.5-pro</t>
        </is>
      </c>
      <c r="K2" s="3" t="inlineStr">
        <is>
          <t>prompt.mentor.java.v2</t>
        </is>
      </c>
      <c r="L2" s="3" t="inlineStr">
        <is>
          <t>rubric.mentor.java.v1</t>
        </is>
      </c>
      <c r="M2" s="3" t="inlineStr">
        <is>
          <t>policy.mentor.v1</t>
        </is>
      </c>
      <c r="N2" s="3" t="inlineStr">
        <is>
          <t>gt-mentor-java-001</t>
        </is>
      </c>
      <c r="O2" s="3" t="inlineStr">
        <is>
          <t>6420</t>
        </is>
      </c>
      <c r="P2" s="3" t="inlineStr">
        <is>
          <t>818</t>
        </is>
      </c>
      <c r="Q2" s="3" t="inlineStr">
        <is>
          <t>7238</t>
        </is>
      </c>
      <c r="R2" s="3" t="inlineStr">
        <is>
          <t>19420</t>
        </is>
      </c>
      <c r="S2" s="3" t="inlineStr">
        <is>
          <t>0.006912</t>
        </is>
      </c>
      <c r="T2" s="3" t="inlineStr">
        <is>
          <t>0.89</t>
        </is>
      </c>
      <c r="U2" s="3" t="inlineStr">
        <is>
          <t>0.86</t>
        </is>
      </c>
      <c r="V2" s="3" t="inlineStr">
        <is>
          <t>0.81</t>
        </is>
      </c>
      <c r="W2" s="3" t="inlineStr">
        <is>
          <t>0.84</t>
        </is>
      </c>
      <c r="X2" s="3" t="inlineStr">
        <is>
          <t>0.82</t>
        </is>
      </c>
      <c r="Y2" s="3" t="inlineStr">
        <is>
          <t>0.03</t>
        </is>
      </c>
      <c r="Z2" s="3" t="inlineStr">
        <is>
          <t>0.90</t>
        </is>
      </c>
      <c r="AA2" s="3" t="inlineStr">
        <is>
          <t>0.85</t>
        </is>
      </c>
      <c r="AB2" s="6">
        <f>MAX(0,ROUND(T2*0.2+U2*0.2+V2*0.15+W2*0.15+X2*0.1+Z2*0.1+AA2*0.1-Y2,3))</f>
        <v/>
      </c>
      <c r="AC2" s="6">
        <f>IFERROR(ROUND(AB2/(S2+0.0001),3),"")</f>
        <v/>
      </c>
      <c r="AD2" s="6">
        <f>IFERROR(ROUND(AB2/(R2/1000),3),"")</f>
        <v/>
      </c>
      <c r="AE2" s="3" t="inlineStr">
        <is>
          <t>0.87</t>
        </is>
      </c>
      <c r="AF2" s="3" t="inlineStr">
        <is>
          <t>Pass</t>
        </is>
      </c>
      <c r="AG2" s="3" t="inlineStr">
        <is>
          <t>minor missed style issue</t>
        </is>
      </c>
      <c r="AH2" s="3" t="inlineStr">
        <is>
          <t>Feedback is grounded and actionable</t>
        </is>
      </c>
    </row>
    <row r="3">
      <c r="AB3" s="6">
        <f>MAX(0,ROUND(T3*0.2+U3*0.2+V3*0.15+W3*0.15+X3*0.1+Z3*0.1+AA3*0.1-Y3,3))</f>
        <v/>
      </c>
      <c r="AC3" s="6">
        <f>IFERROR(ROUND(AB3/(S3+0.0001),3),"")</f>
        <v/>
      </c>
      <c r="AD3" s="6">
        <f>IFERROR(ROUND(AB3/(R3/1000),3),"")</f>
        <v/>
      </c>
    </row>
    <row r="4">
      <c r="AB4" s="6">
        <f>MAX(0,ROUND(T4*0.2+U4*0.2+V4*0.15+W4*0.15+X4*0.1+Z4*0.1+AA4*0.1-Y4,3))</f>
        <v/>
      </c>
      <c r="AC4" s="6">
        <f>IFERROR(ROUND(AB4/(S4+0.0001),3),"")</f>
        <v/>
      </c>
      <c r="AD4" s="6">
        <f>IFERROR(ROUND(AB4/(R4/1000),3),"")</f>
        <v/>
      </c>
    </row>
    <row r="5">
      <c r="AB5" s="6">
        <f>MAX(0,ROUND(T5*0.2+U5*0.2+V5*0.15+W5*0.15+X5*0.1+Z5*0.1+AA5*0.1-Y5,3))</f>
        <v/>
      </c>
      <c r="AC5" s="6">
        <f>IFERROR(ROUND(AB5/(S5+0.0001),3),"")</f>
        <v/>
      </c>
      <c r="AD5" s="6">
        <f>IFERROR(ROUND(AB5/(R5/1000),3),"")</f>
        <v/>
      </c>
    </row>
    <row r="6">
      <c r="AB6" s="6">
        <f>MAX(0,ROUND(T6*0.2+U6*0.2+V6*0.15+W6*0.15+X6*0.1+Z6*0.1+AA6*0.1-Y6,3))</f>
        <v/>
      </c>
      <c r="AC6" s="6">
        <f>IFERROR(ROUND(AB6/(S6+0.0001),3),"")</f>
        <v/>
      </c>
      <c r="AD6" s="6">
        <f>IFERROR(ROUND(AB6/(R6/1000),3),"")</f>
        <v/>
      </c>
    </row>
    <row r="7">
      <c r="AB7" s="6">
        <f>MAX(0,ROUND(T7*0.2+U7*0.2+V7*0.15+W7*0.15+X7*0.1+Z7*0.1+AA7*0.1-Y7,3))</f>
        <v/>
      </c>
      <c r="AC7" s="6">
        <f>IFERROR(ROUND(AB7/(S7+0.0001),3),"")</f>
        <v/>
      </c>
      <c r="AD7" s="6">
        <f>IFERROR(ROUND(AB7/(R7/1000),3),"")</f>
        <v/>
      </c>
    </row>
    <row r="8">
      <c r="AB8" s="6">
        <f>MAX(0,ROUND(T8*0.2+U8*0.2+V8*0.15+W8*0.15+X8*0.1+Z8*0.1+AA8*0.1-Y8,3))</f>
        <v/>
      </c>
      <c r="AC8" s="6">
        <f>IFERROR(ROUND(AB8/(S8+0.0001),3),"")</f>
        <v/>
      </c>
      <c r="AD8" s="6">
        <f>IFERROR(ROUND(AB8/(R8/1000),3),"")</f>
        <v/>
      </c>
    </row>
    <row r="9">
      <c r="AB9" s="6">
        <f>MAX(0,ROUND(T9*0.2+U9*0.2+V9*0.15+W9*0.15+X9*0.1+Z9*0.1+AA9*0.1-Y9,3))</f>
        <v/>
      </c>
      <c r="AC9" s="6">
        <f>IFERROR(ROUND(AB9/(S9+0.0001),3),"")</f>
        <v/>
      </c>
      <c r="AD9" s="6">
        <f>IFERROR(ROUND(AB9/(R9/1000),3),"")</f>
        <v/>
      </c>
    </row>
    <row r="10">
      <c r="AB10" s="6">
        <f>MAX(0,ROUND(T10*0.2+U10*0.2+V10*0.15+W10*0.15+X10*0.1+Z10*0.1+AA10*0.1-Y10,3))</f>
        <v/>
      </c>
      <c r="AC10" s="6">
        <f>IFERROR(ROUND(AB10/(S10+0.0001),3),"")</f>
        <v/>
      </c>
      <c r="AD10" s="6">
        <f>IFERROR(ROUND(AB10/(R10/1000),3),"")</f>
        <v/>
      </c>
    </row>
    <row r="11">
      <c r="AB11" s="6">
        <f>MAX(0,ROUND(T11*0.2+U11*0.2+V11*0.15+W11*0.15+X11*0.1+Z11*0.1+AA11*0.1-Y11,3))</f>
        <v/>
      </c>
      <c r="AC11" s="6">
        <f>IFERROR(ROUND(AB11/(S11+0.0001),3),"")</f>
        <v/>
      </c>
      <c r="AD11" s="6">
        <f>IFERROR(ROUND(AB11/(R11/1000),3),"")</f>
        <v/>
      </c>
    </row>
    <row r="12">
      <c r="AB12" s="6">
        <f>MAX(0,ROUND(T12*0.2+U12*0.2+V12*0.15+W12*0.15+X12*0.1+Z12*0.1+AA12*0.1-Y12,3))</f>
        <v/>
      </c>
      <c r="AC12" s="6">
        <f>IFERROR(ROUND(AB12/(S12+0.0001),3),"")</f>
        <v/>
      </c>
      <c r="AD12" s="6">
        <f>IFERROR(ROUND(AB12/(R12/1000),3),"")</f>
        <v/>
      </c>
    </row>
    <row r="13">
      <c r="AB13" s="6">
        <f>MAX(0,ROUND(T13*0.2+U13*0.2+V13*0.15+W13*0.15+X13*0.1+Z13*0.1+AA13*0.1-Y13,3))</f>
        <v/>
      </c>
      <c r="AC13" s="6">
        <f>IFERROR(ROUND(AB13/(S13+0.0001),3),"")</f>
        <v/>
      </c>
      <c r="AD13" s="6">
        <f>IFERROR(ROUND(AB13/(R13/1000),3),"")</f>
        <v/>
      </c>
    </row>
    <row r="14">
      <c r="AB14" s="6">
        <f>MAX(0,ROUND(T14*0.2+U14*0.2+V14*0.15+W14*0.15+X14*0.1+Z14*0.1+AA14*0.1-Y14,3))</f>
        <v/>
      </c>
      <c r="AC14" s="6">
        <f>IFERROR(ROUND(AB14/(S14+0.0001),3),"")</f>
        <v/>
      </c>
      <c r="AD14" s="6">
        <f>IFERROR(ROUND(AB14/(R14/1000),3),"")</f>
        <v/>
      </c>
    </row>
    <row r="15">
      <c r="AB15" s="6">
        <f>MAX(0,ROUND(T15*0.2+U15*0.2+V15*0.15+W15*0.15+X15*0.1+Z15*0.1+AA15*0.1-Y15,3))</f>
        <v/>
      </c>
      <c r="AC15" s="6">
        <f>IFERROR(ROUND(AB15/(S15+0.0001),3),"")</f>
        <v/>
      </c>
      <c r="AD15" s="6">
        <f>IFERROR(ROUND(AB15/(R15/1000),3),"")</f>
        <v/>
      </c>
    </row>
    <row r="16">
      <c r="AB16" s="6">
        <f>MAX(0,ROUND(T16*0.2+U16*0.2+V16*0.15+W16*0.15+X16*0.1+Z16*0.1+AA16*0.1-Y16,3))</f>
        <v/>
      </c>
      <c r="AC16" s="6">
        <f>IFERROR(ROUND(AB16/(S16+0.0001),3),"")</f>
        <v/>
      </c>
      <c r="AD16" s="6">
        <f>IFERROR(ROUND(AB16/(R16/1000),3),"")</f>
        <v/>
      </c>
    </row>
    <row r="17">
      <c r="AB17" s="6">
        <f>MAX(0,ROUND(T17*0.2+U17*0.2+V17*0.15+W17*0.15+X17*0.1+Z17*0.1+AA17*0.1-Y17,3))</f>
        <v/>
      </c>
      <c r="AC17" s="6">
        <f>IFERROR(ROUND(AB17/(S17+0.0001),3),"")</f>
        <v/>
      </c>
      <c r="AD17" s="6">
        <f>IFERROR(ROUND(AB17/(R17/1000),3),"")</f>
        <v/>
      </c>
    </row>
    <row r="18">
      <c r="AB18" s="6">
        <f>MAX(0,ROUND(T18*0.2+U18*0.2+V18*0.15+W18*0.15+X18*0.1+Z18*0.1+AA18*0.1-Y18,3))</f>
        <v/>
      </c>
      <c r="AC18" s="6">
        <f>IFERROR(ROUND(AB18/(S18+0.0001),3),"")</f>
        <v/>
      </c>
      <c r="AD18" s="6">
        <f>IFERROR(ROUND(AB18/(R18/1000),3),"")</f>
        <v/>
      </c>
    </row>
    <row r="19">
      <c r="AB19" s="6">
        <f>MAX(0,ROUND(T19*0.2+U19*0.2+V19*0.15+W19*0.15+X19*0.1+Z19*0.1+AA19*0.1-Y19,3))</f>
        <v/>
      </c>
      <c r="AC19" s="6">
        <f>IFERROR(ROUND(AB19/(S19+0.0001),3),"")</f>
        <v/>
      </c>
      <c r="AD19" s="6">
        <f>IFERROR(ROUND(AB19/(R19/1000),3),"")</f>
        <v/>
      </c>
    </row>
    <row r="20">
      <c r="AB20" s="6">
        <f>MAX(0,ROUND(T20*0.2+U20*0.2+V20*0.15+W20*0.15+X20*0.1+Z20*0.1+AA20*0.1-Y20,3))</f>
        <v/>
      </c>
      <c r="AC20" s="6">
        <f>IFERROR(ROUND(AB20/(S20+0.0001),3),"")</f>
        <v/>
      </c>
      <c r="AD20" s="6">
        <f>IFERROR(ROUND(AB20/(R20/1000),3),"")</f>
        <v/>
      </c>
    </row>
    <row r="21">
      <c r="AB21" s="6">
        <f>MAX(0,ROUND(T21*0.2+U21*0.2+V21*0.15+W21*0.15+X21*0.1+Z21*0.1+AA21*0.1-Y21,3))</f>
        <v/>
      </c>
      <c r="AC21" s="6">
        <f>IFERROR(ROUND(AB21/(S21+0.0001),3),"")</f>
        <v/>
      </c>
      <c r="AD21" s="6">
        <f>IFERROR(ROUND(AB21/(R21/1000),3),"")</f>
        <v/>
      </c>
    </row>
    <row r="22">
      <c r="AB22" s="6">
        <f>MAX(0,ROUND(T22*0.2+U22*0.2+V22*0.15+W22*0.15+X22*0.1+Z22*0.1+AA22*0.1-Y22,3))</f>
        <v/>
      </c>
      <c r="AC22" s="6">
        <f>IFERROR(ROUND(AB22/(S22+0.0001),3),"")</f>
        <v/>
      </c>
      <c r="AD22" s="6">
        <f>IFERROR(ROUND(AB22/(R22/1000),3),"")</f>
        <v/>
      </c>
    </row>
    <row r="23">
      <c r="AB23" s="6">
        <f>MAX(0,ROUND(T23*0.2+U23*0.2+V23*0.15+W23*0.15+X23*0.1+Z23*0.1+AA23*0.1-Y23,3))</f>
        <v/>
      </c>
      <c r="AC23" s="6">
        <f>IFERROR(ROUND(AB23/(S23+0.0001),3),"")</f>
        <v/>
      </c>
      <c r="AD23" s="6">
        <f>IFERROR(ROUND(AB23/(R23/1000),3),"")</f>
        <v/>
      </c>
    </row>
    <row r="24">
      <c r="AB24" s="6">
        <f>MAX(0,ROUND(T24*0.2+U24*0.2+V24*0.15+W24*0.15+X24*0.1+Z24*0.1+AA24*0.1-Y24,3))</f>
        <v/>
      </c>
      <c r="AC24" s="6">
        <f>IFERROR(ROUND(AB24/(S24+0.0001),3),"")</f>
        <v/>
      </c>
      <c r="AD24" s="6">
        <f>IFERROR(ROUND(AB24/(R24/1000),3),"")</f>
        <v/>
      </c>
    </row>
    <row r="25">
      <c r="AB25" s="6">
        <f>MAX(0,ROUND(T25*0.2+U25*0.2+V25*0.15+W25*0.15+X25*0.1+Z25*0.1+AA25*0.1-Y25,3))</f>
        <v/>
      </c>
      <c r="AC25" s="6">
        <f>IFERROR(ROUND(AB25/(S25+0.0001),3),"")</f>
        <v/>
      </c>
      <c r="AD25" s="6">
        <f>IFERROR(ROUND(AB25/(R25/1000),3),"")</f>
        <v/>
      </c>
    </row>
    <row r="26">
      <c r="AB26" s="6">
        <f>MAX(0,ROUND(T26*0.2+U26*0.2+V26*0.15+W26*0.15+X26*0.1+Z26*0.1+AA26*0.1-Y26,3))</f>
        <v/>
      </c>
      <c r="AC26" s="6">
        <f>IFERROR(ROUND(AB26/(S26+0.0001),3),"")</f>
        <v/>
      </c>
      <c r="AD26" s="6">
        <f>IFERROR(ROUND(AB26/(R26/1000),3),"")</f>
        <v/>
      </c>
    </row>
    <row r="27">
      <c r="AB27" s="6">
        <f>MAX(0,ROUND(T27*0.2+U27*0.2+V27*0.15+W27*0.15+X27*0.1+Z27*0.1+AA27*0.1-Y27,3))</f>
        <v/>
      </c>
      <c r="AC27" s="6">
        <f>IFERROR(ROUND(AB27/(S27+0.0001),3),"")</f>
        <v/>
      </c>
      <c r="AD27" s="6">
        <f>IFERROR(ROUND(AB27/(R27/1000),3),"")</f>
        <v/>
      </c>
    </row>
    <row r="28">
      <c r="AB28" s="6">
        <f>MAX(0,ROUND(T28*0.2+U28*0.2+V28*0.15+W28*0.15+X28*0.1+Z28*0.1+AA28*0.1-Y28,3))</f>
        <v/>
      </c>
      <c r="AC28" s="6">
        <f>IFERROR(ROUND(AB28/(S28+0.0001),3),"")</f>
        <v/>
      </c>
      <c r="AD28" s="6">
        <f>IFERROR(ROUND(AB28/(R28/1000),3),"")</f>
        <v/>
      </c>
    </row>
    <row r="29">
      <c r="AB29" s="6">
        <f>MAX(0,ROUND(T29*0.2+U29*0.2+V29*0.15+W29*0.15+X29*0.1+Z29*0.1+AA29*0.1-Y29,3))</f>
        <v/>
      </c>
      <c r="AC29" s="6">
        <f>IFERROR(ROUND(AB29/(S29+0.0001),3),"")</f>
        <v/>
      </c>
      <c r="AD29" s="6">
        <f>IFERROR(ROUND(AB29/(R29/1000),3),"")</f>
        <v/>
      </c>
    </row>
    <row r="30">
      <c r="AB30" s="6">
        <f>MAX(0,ROUND(T30*0.2+U30*0.2+V30*0.15+W30*0.15+X30*0.1+Z30*0.1+AA30*0.1-Y30,3))</f>
        <v/>
      </c>
      <c r="AC30" s="6">
        <f>IFERROR(ROUND(AB30/(S30+0.0001),3),"")</f>
        <v/>
      </c>
      <c r="AD30" s="6">
        <f>IFERROR(ROUND(AB30/(R30/1000),3),"")</f>
        <v/>
      </c>
    </row>
    <row r="31">
      <c r="AB31" s="6">
        <f>MAX(0,ROUND(T31*0.2+U31*0.2+V31*0.15+W31*0.15+X31*0.1+Z31*0.1+AA31*0.1-Y31,3))</f>
        <v/>
      </c>
      <c r="AC31" s="6">
        <f>IFERROR(ROUND(AB31/(S31+0.0001),3),"")</f>
        <v/>
      </c>
      <c r="AD31" s="6">
        <f>IFERROR(ROUND(AB31/(R31/1000),3),"")</f>
        <v/>
      </c>
    </row>
    <row r="32">
      <c r="AB32" s="6">
        <f>MAX(0,ROUND(T32*0.2+U32*0.2+V32*0.15+W32*0.15+X32*0.1+Z32*0.1+AA32*0.1-Y32,3))</f>
        <v/>
      </c>
      <c r="AC32" s="6">
        <f>IFERROR(ROUND(AB32/(S32+0.0001),3),"")</f>
        <v/>
      </c>
      <c r="AD32" s="6">
        <f>IFERROR(ROUND(AB32/(R32/1000),3),"")</f>
        <v/>
      </c>
    </row>
    <row r="33">
      <c r="AB33" s="6">
        <f>MAX(0,ROUND(T33*0.2+U33*0.2+V33*0.15+W33*0.15+X33*0.1+Z33*0.1+AA33*0.1-Y33,3))</f>
        <v/>
      </c>
      <c r="AC33" s="6">
        <f>IFERROR(ROUND(AB33/(S33+0.0001),3),"")</f>
        <v/>
      </c>
      <c r="AD33" s="6">
        <f>IFERROR(ROUND(AB33/(R33/1000),3),"")</f>
        <v/>
      </c>
    </row>
    <row r="34">
      <c r="AB34" s="6">
        <f>MAX(0,ROUND(T34*0.2+U34*0.2+V34*0.15+W34*0.15+X34*0.1+Z34*0.1+AA34*0.1-Y34,3))</f>
        <v/>
      </c>
      <c r="AC34" s="6">
        <f>IFERROR(ROUND(AB34/(S34+0.0001),3),"")</f>
        <v/>
      </c>
      <c r="AD34" s="6">
        <f>IFERROR(ROUND(AB34/(R34/1000),3),"")</f>
        <v/>
      </c>
    </row>
    <row r="35">
      <c r="AB35" s="6">
        <f>MAX(0,ROUND(T35*0.2+U35*0.2+V35*0.15+W35*0.15+X35*0.1+Z35*0.1+AA35*0.1-Y35,3))</f>
        <v/>
      </c>
      <c r="AC35" s="6">
        <f>IFERROR(ROUND(AB35/(S35+0.0001),3),"")</f>
        <v/>
      </c>
      <c r="AD35" s="6">
        <f>IFERROR(ROUND(AB35/(R35/1000),3),"")</f>
        <v/>
      </c>
    </row>
    <row r="36">
      <c r="AB36" s="6">
        <f>MAX(0,ROUND(T36*0.2+U36*0.2+V36*0.15+W36*0.15+X36*0.1+Z36*0.1+AA36*0.1-Y36,3))</f>
        <v/>
      </c>
      <c r="AC36" s="6">
        <f>IFERROR(ROUND(AB36/(S36+0.0001),3),"")</f>
        <v/>
      </c>
      <c r="AD36" s="6">
        <f>IFERROR(ROUND(AB36/(R36/1000),3),"")</f>
        <v/>
      </c>
    </row>
    <row r="37">
      <c r="AB37" s="6">
        <f>MAX(0,ROUND(T37*0.2+U37*0.2+V37*0.15+W37*0.15+X37*0.1+Z37*0.1+AA37*0.1-Y37,3))</f>
        <v/>
      </c>
      <c r="AC37" s="6">
        <f>IFERROR(ROUND(AB37/(S37+0.0001),3),"")</f>
        <v/>
      </c>
      <c r="AD37" s="6">
        <f>IFERROR(ROUND(AB37/(R37/1000),3),"")</f>
        <v/>
      </c>
    </row>
    <row r="38">
      <c r="AB38" s="6">
        <f>MAX(0,ROUND(T38*0.2+U38*0.2+V38*0.15+W38*0.15+X38*0.1+Z38*0.1+AA38*0.1-Y38,3))</f>
        <v/>
      </c>
      <c r="AC38" s="6">
        <f>IFERROR(ROUND(AB38/(S38+0.0001),3),"")</f>
        <v/>
      </c>
      <c r="AD38" s="6">
        <f>IFERROR(ROUND(AB38/(R38/1000),3),"")</f>
        <v/>
      </c>
    </row>
    <row r="39">
      <c r="AB39" s="6">
        <f>MAX(0,ROUND(T39*0.2+U39*0.2+V39*0.15+W39*0.15+X39*0.1+Z39*0.1+AA39*0.1-Y39,3))</f>
        <v/>
      </c>
      <c r="AC39" s="6">
        <f>IFERROR(ROUND(AB39/(S39+0.0001),3),"")</f>
        <v/>
      </c>
      <c r="AD39" s="6">
        <f>IFERROR(ROUND(AB39/(R39/1000),3),"")</f>
        <v/>
      </c>
    </row>
    <row r="40">
      <c r="AB40" s="6">
        <f>MAX(0,ROUND(T40*0.2+U40*0.2+V40*0.15+W40*0.15+X40*0.1+Z40*0.1+AA40*0.1-Y40,3))</f>
        <v/>
      </c>
      <c r="AC40" s="6">
        <f>IFERROR(ROUND(AB40/(S40+0.0001),3),"")</f>
        <v/>
      </c>
      <c r="AD40" s="6">
        <f>IFERROR(ROUND(AB40/(R40/1000),3),"")</f>
        <v/>
      </c>
    </row>
    <row r="41">
      <c r="AB41" s="6">
        <f>MAX(0,ROUND(T41*0.2+U41*0.2+V41*0.15+W41*0.15+X41*0.1+Z41*0.1+AA41*0.1-Y41,3))</f>
        <v/>
      </c>
      <c r="AC41" s="6">
        <f>IFERROR(ROUND(AB41/(S41+0.0001),3),"")</f>
        <v/>
      </c>
      <c r="AD41" s="6">
        <f>IFERROR(ROUND(AB41/(R41/1000),3),"")</f>
        <v/>
      </c>
    </row>
    <row r="42">
      <c r="AB42" s="6">
        <f>MAX(0,ROUND(T42*0.2+U42*0.2+V42*0.15+W42*0.15+X42*0.1+Z42*0.1+AA42*0.1-Y42,3))</f>
        <v/>
      </c>
      <c r="AC42" s="6">
        <f>IFERROR(ROUND(AB42/(S42+0.0001),3),"")</f>
        <v/>
      </c>
      <c r="AD42" s="6">
        <f>IFERROR(ROUND(AB42/(R42/1000),3),"")</f>
        <v/>
      </c>
    </row>
    <row r="43">
      <c r="AB43" s="6">
        <f>MAX(0,ROUND(T43*0.2+U43*0.2+V43*0.15+W43*0.15+X43*0.1+Z43*0.1+AA43*0.1-Y43,3))</f>
        <v/>
      </c>
      <c r="AC43" s="6">
        <f>IFERROR(ROUND(AB43/(S43+0.0001),3),"")</f>
        <v/>
      </c>
      <c r="AD43" s="6">
        <f>IFERROR(ROUND(AB43/(R43/1000),3),"")</f>
        <v/>
      </c>
    </row>
    <row r="44">
      <c r="AB44" s="6">
        <f>MAX(0,ROUND(T44*0.2+U44*0.2+V44*0.15+W44*0.15+X44*0.1+Z44*0.1+AA44*0.1-Y44,3))</f>
        <v/>
      </c>
      <c r="AC44" s="6">
        <f>IFERROR(ROUND(AB44/(S44+0.0001),3),"")</f>
        <v/>
      </c>
      <c r="AD44" s="6">
        <f>IFERROR(ROUND(AB44/(R44/1000),3),"")</f>
        <v/>
      </c>
    </row>
    <row r="45">
      <c r="AB45" s="6">
        <f>MAX(0,ROUND(T45*0.2+U45*0.2+V45*0.15+W45*0.15+X45*0.1+Z45*0.1+AA45*0.1-Y45,3))</f>
        <v/>
      </c>
      <c r="AC45" s="6">
        <f>IFERROR(ROUND(AB45/(S45+0.0001),3),"")</f>
        <v/>
      </c>
      <c r="AD45" s="6">
        <f>IFERROR(ROUND(AB45/(R45/1000),3),"")</f>
        <v/>
      </c>
    </row>
    <row r="46">
      <c r="AB46" s="6">
        <f>MAX(0,ROUND(T46*0.2+U46*0.2+V46*0.15+W46*0.15+X46*0.1+Z46*0.1+AA46*0.1-Y46,3))</f>
        <v/>
      </c>
      <c r="AC46" s="6">
        <f>IFERROR(ROUND(AB46/(S46+0.0001),3),"")</f>
        <v/>
      </c>
      <c r="AD46" s="6">
        <f>IFERROR(ROUND(AB46/(R46/1000),3),"")</f>
        <v/>
      </c>
    </row>
    <row r="47">
      <c r="AB47" s="6">
        <f>MAX(0,ROUND(T47*0.2+U47*0.2+V47*0.15+W47*0.15+X47*0.1+Z47*0.1+AA47*0.1-Y47,3))</f>
        <v/>
      </c>
      <c r="AC47" s="6">
        <f>IFERROR(ROUND(AB47/(S47+0.0001),3),"")</f>
        <v/>
      </c>
      <c r="AD47" s="6">
        <f>IFERROR(ROUND(AB47/(R47/1000),3),"")</f>
        <v/>
      </c>
    </row>
    <row r="48">
      <c r="AB48" s="6">
        <f>MAX(0,ROUND(T48*0.2+U48*0.2+V48*0.15+W48*0.15+X48*0.1+Z48*0.1+AA48*0.1-Y48,3))</f>
        <v/>
      </c>
      <c r="AC48" s="6">
        <f>IFERROR(ROUND(AB48/(S48+0.0001),3),"")</f>
        <v/>
      </c>
      <c r="AD48" s="6">
        <f>IFERROR(ROUND(AB48/(R48/1000),3),"")</f>
        <v/>
      </c>
    </row>
    <row r="49">
      <c r="AB49" s="6">
        <f>MAX(0,ROUND(T49*0.2+U49*0.2+V49*0.15+W49*0.15+X49*0.1+Z49*0.1+AA49*0.1-Y49,3))</f>
        <v/>
      </c>
      <c r="AC49" s="6">
        <f>IFERROR(ROUND(AB49/(S49+0.0001),3),"")</f>
        <v/>
      </c>
      <c r="AD49" s="6">
        <f>IFERROR(ROUND(AB49/(R49/1000),3),"")</f>
        <v/>
      </c>
    </row>
    <row r="50">
      <c r="AB50" s="6">
        <f>MAX(0,ROUND(T50*0.2+U50*0.2+V50*0.15+W50*0.15+X50*0.1+Z50*0.1+AA50*0.1-Y50,3))</f>
        <v/>
      </c>
      <c r="AC50" s="6">
        <f>IFERROR(ROUND(AB50/(S50+0.0001),3),"")</f>
        <v/>
      </c>
      <c r="AD50" s="6">
        <f>IFERROR(ROUND(AB50/(R50/1000),3),"")</f>
        <v/>
      </c>
    </row>
    <row r="51">
      <c r="AB51" s="6">
        <f>MAX(0,ROUND(T51*0.2+U51*0.2+V51*0.15+W51*0.15+X51*0.1+Z51*0.1+AA51*0.1-Y51,3))</f>
        <v/>
      </c>
      <c r="AC51" s="6">
        <f>IFERROR(ROUND(AB51/(S51+0.0001),3),"")</f>
        <v/>
      </c>
      <c r="AD51" s="6">
        <f>IFERROR(ROUND(AB51/(R51/1000),3),"")</f>
        <v/>
      </c>
    </row>
    <row r="52">
      <c r="AB52" s="6">
        <f>MAX(0,ROUND(T52*0.2+U52*0.2+V52*0.15+W52*0.15+X52*0.1+Z52*0.1+AA52*0.1-Y52,3))</f>
        <v/>
      </c>
      <c r="AC52" s="6">
        <f>IFERROR(ROUND(AB52/(S52+0.0001),3),"")</f>
        <v/>
      </c>
      <c r="AD52" s="6">
        <f>IFERROR(ROUND(AB52/(R52/1000),3),"")</f>
        <v/>
      </c>
    </row>
    <row r="53">
      <c r="AB53" s="6">
        <f>MAX(0,ROUND(T53*0.2+U53*0.2+V53*0.15+W53*0.15+X53*0.1+Z53*0.1+AA53*0.1-Y53,3))</f>
        <v/>
      </c>
      <c r="AC53" s="6">
        <f>IFERROR(ROUND(AB53/(S53+0.0001),3),"")</f>
        <v/>
      </c>
      <c r="AD53" s="6">
        <f>IFERROR(ROUND(AB53/(R53/1000),3),"")</f>
        <v/>
      </c>
    </row>
    <row r="54">
      <c r="AB54" s="6">
        <f>MAX(0,ROUND(T54*0.2+U54*0.2+V54*0.15+W54*0.15+X54*0.1+Z54*0.1+AA54*0.1-Y54,3))</f>
        <v/>
      </c>
      <c r="AC54" s="6">
        <f>IFERROR(ROUND(AB54/(S54+0.0001),3),"")</f>
        <v/>
      </c>
      <c r="AD54" s="6">
        <f>IFERROR(ROUND(AB54/(R54/1000),3),"")</f>
        <v/>
      </c>
    </row>
    <row r="55">
      <c r="AB55" s="6">
        <f>MAX(0,ROUND(T55*0.2+U55*0.2+V55*0.15+W55*0.15+X55*0.1+Z55*0.1+AA55*0.1-Y55,3))</f>
        <v/>
      </c>
      <c r="AC55" s="6">
        <f>IFERROR(ROUND(AB55/(S55+0.0001),3),"")</f>
        <v/>
      </c>
      <c r="AD55" s="6">
        <f>IFERROR(ROUND(AB55/(R55/1000),3),"")</f>
        <v/>
      </c>
    </row>
    <row r="56">
      <c r="AB56" s="6">
        <f>MAX(0,ROUND(T56*0.2+U56*0.2+V56*0.15+W56*0.15+X56*0.1+Z56*0.1+AA56*0.1-Y56,3))</f>
        <v/>
      </c>
      <c r="AC56" s="6">
        <f>IFERROR(ROUND(AB56/(S56+0.0001),3),"")</f>
        <v/>
      </c>
      <c r="AD56" s="6">
        <f>IFERROR(ROUND(AB56/(R56/1000),3),"")</f>
        <v/>
      </c>
    </row>
    <row r="57">
      <c r="AB57" s="6">
        <f>MAX(0,ROUND(T57*0.2+U57*0.2+V57*0.15+W57*0.15+X57*0.1+Z57*0.1+AA57*0.1-Y57,3))</f>
        <v/>
      </c>
      <c r="AC57" s="6">
        <f>IFERROR(ROUND(AB57/(S57+0.0001),3),"")</f>
        <v/>
      </c>
      <c r="AD57" s="6">
        <f>IFERROR(ROUND(AB57/(R57/1000),3),"")</f>
        <v/>
      </c>
    </row>
    <row r="58">
      <c r="AB58" s="6">
        <f>MAX(0,ROUND(T58*0.2+U58*0.2+V58*0.15+W58*0.15+X58*0.1+Z58*0.1+AA58*0.1-Y58,3))</f>
        <v/>
      </c>
      <c r="AC58" s="6">
        <f>IFERROR(ROUND(AB58/(S58+0.0001),3),"")</f>
        <v/>
      </c>
      <c r="AD58" s="6">
        <f>IFERROR(ROUND(AB58/(R58/1000),3),"")</f>
        <v/>
      </c>
    </row>
    <row r="59">
      <c r="AB59" s="6">
        <f>MAX(0,ROUND(T59*0.2+U59*0.2+V59*0.15+W59*0.15+X59*0.1+Z59*0.1+AA59*0.1-Y59,3))</f>
        <v/>
      </c>
      <c r="AC59" s="6">
        <f>IFERROR(ROUND(AB59/(S59+0.0001),3),"")</f>
        <v/>
      </c>
      <c r="AD59" s="6">
        <f>IFERROR(ROUND(AB59/(R59/1000),3),"")</f>
        <v/>
      </c>
    </row>
    <row r="60">
      <c r="AB60" s="6">
        <f>MAX(0,ROUND(T60*0.2+U60*0.2+V60*0.15+W60*0.15+X60*0.1+Z60*0.1+AA60*0.1-Y60,3))</f>
        <v/>
      </c>
      <c r="AC60" s="6">
        <f>IFERROR(ROUND(AB60/(S60+0.0001),3),"")</f>
        <v/>
      </c>
      <c r="AD60" s="6">
        <f>IFERROR(ROUND(AB60/(R60/1000),3),"")</f>
        <v/>
      </c>
    </row>
    <row r="61">
      <c r="AB61" s="6">
        <f>MAX(0,ROUND(T61*0.2+U61*0.2+V61*0.15+W61*0.15+X61*0.1+Z61*0.1+AA61*0.1-Y61,3))</f>
        <v/>
      </c>
      <c r="AC61" s="6">
        <f>IFERROR(ROUND(AB61/(S61+0.0001),3),"")</f>
        <v/>
      </c>
      <c r="AD61" s="6">
        <f>IFERROR(ROUND(AB61/(R61/1000),3),"")</f>
        <v/>
      </c>
    </row>
    <row r="62">
      <c r="AB62" s="6">
        <f>MAX(0,ROUND(T62*0.2+U62*0.2+V62*0.15+W62*0.15+X62*0.1+Z62*0.1+AA62*0.1-Y62,3))</f>
        <v/>
      </c>
      <c r="AC62" s="6">
        <f>IFERROR(ROUND(AB62/(S62+0.0001),3),"")</f>
        <v/>
      </c>
      <c r="AD62" s="6">
        <f>IFERROR(ROUND(AB62/(R62/1000),3),"")</f>
        <v/>
      </c>
    </row>
    <row r="63">
      <c r="AB63" s="6">
        <f>MAX(0,ROUND(T63*0.2+U63*0.2+V63*0.15+W63*0.15+X63*0.1+Z63*0.1+AA63*0.1-Y63,3))</f>
        <v/>
      </c>
      <c r="AC63" s="6">
        <f>IFERROR(ROUND(AB63/(S63+0.0001),3),"")</f>
        <v/>
      </c>
      <c r="AD63" s="6">
        <f>IFERROR(ROUND(AB63/(R63/1000),3),"")</f>
        <v/>
      </c>
    </row>
    <row r="64">
      <c r="AB64" s="6">
        <f>MAX(0,ROUND(T64*0.2+U64*0.2+V64*0.15+W64*0.15+X64*0.1+Z64*0.1+AA64*0.1-Y64,3))</f>
        <v/>
      </c>
      <c r="AC64" s="6">
        <f>IFERROR(ROUND(AB64/(S64+0.0001),3),"")</f>
        <v/>
      </c>
      <c r="AD64" s="6">
        <f>IFERROR(ROUND(AB64/(R64/1000),3),"")</f>
        <v/>
      </c>
    </row>
    <row r="65">
      <c r="AB65" s="6">
        <f>MAX(0,ROUND(T65*0.2+U65*0.2+V65*0.15+W65*0.15+X65*0.1+Z65*0.1+AA65*0.1-Y65,3))</f>
        <v/>
      </c>
      <c r="AC65" s="6">
        <f>IFERROR(ROUND(AB65/(S65+0.0001),3),"")</f>
        <v/>
      </c>
      <c r="AD65" s="6">
        <f>IFERROR(ROUND(AB65/(R65/1000),3),"")</f>
        <v/>
      </c>
    </row>
    <row r="66">
      <c r="AB66" s="6">
        <f>MAX(0,ROUND(T66*0.2+U66*0.2+V66*0.15+W66*0.15+X66*0.1+Z66*0.1+AA66*0.1-Y66,3))</f>
        <v/>
      </c>
      <c r="AC66" s="6">
        <f>IFERROR(ROUND(AB66/(S66+0.0001),3),"")</f>
        <v/>
      </c>
      <c r="AD66" s="6">
        <f>IFERROR(ROUND(AB66/(R66/1000),3),"")</f>
        <v/>
      </c>
    </row>
    <row r="67">
      <c r="AB67" s="6">
        <f>MAX(0,ROUND(T67*0.2+U67*0.2+V67*0.15+W67*0.15+X67*0.1+Z67*0.1+AA67*0.1-Y67,3))</f>
        <v/>
      </c>
      <c r="AC67" s="6">
        <f>IFERROR(ROUND(AB67/(S67+0.0001),3),"")</f>
        <v/>
      </c>
      <c r="AD67" s="6">
        <f>IFERROR(ROUND(AB67/(R67/1000),3),"")</f>
        <v/>
      </c>
    </row>
    <row r="68">
      <c r="AB68" s="6">
        <f>MAX(0,ROUND(T68*0.2+U68*0.2+V68*0.15+W68*0.15+X68*0.1+Z68*0.1+AA68*0.1-Y68,3))</f>
        <v/>
      </c>
      <c r="AC68" s="6">
        <f>IFERROR(ROUND(AB68/(S68+0.0001),3),"")</f>
        <v/>
      </c>
      <c r="AD68" s="6">
        <f>IFERROR(ROUND(AB68/(R68/1000),3),"")</f>
        <v/>
      </c>
    </row>
    <row r="69">
      <c r="AB69" s="6">
        <f>MAX(0,ROUND(T69*0.2+U69*0.2+V69*0.15+W69*0.15+X69*0.1+Z69*0.1+AA69*0.1-Y69,3))</f>
        <v/>
      </c>
      <c r="AC69" s="6">
        <f>IFERROR(ROUND(AB69/(S69+0.0001),3),"")</f>
        <v/>
      </c>
      <c r="AD69" s="6">
        <f>IFERROR(ROUND(AB69/(R69/1000),3),"")</f>
        <v/>
      </c>
    </row>
    <row r="70">
      <c r="AB70" s="6">
        <f>MAX(0,ROUND(T70*0.2+U70*0.2+V70*0.15+W70*0.15+X70*0.1+Z70*0.1+AA70*0.1-Y70,3))</f>
        <v/>
      </c>
      <c r="AC70" s="6">
        <f>IFERROR(ROUND(AB70/(S70+0.0001),3),"")</f>
        <v/>
      </c>
      <c r="AD70" s="6">
        <f>IFERROR(ROUND(AB70/(R70/1000),3),"")</f>
        <v/>
      </c>
    </row>
    <row r="71">
      <c r="AB71" s="6">
        <f>MAX(0,ROUND(T71*0.2+U71*0.2+V71*0.15+W71*0.15+X71*0.1+Z71*0.1+AA71*0.1-Y71,3))</f>
        <v/>
      </c>
      <c r="AC71" s="6">
        <f>IFERROR(ROUND(AB71/(S71+0.0001),3),"")</f>
        <v/>
      </c>
      <c r="AD71" s="6">
        <f>IFERROR(ROUND(AB71/(R71/1000),3),"")</f>
        <v/>
      </c>
    </row>
    <row r="72">
      <c r="AB72" s="6">
        <f>MAX(0,ROUND(T72*0.2+U72*0.2+V72*0.15+W72*0.15+X72*0.1+Z72*0.1+AA72*0.1-Y72,3))</f>
        <v/>
      </c>
      <c r="AC72" s="6">
        <f>IFERROR(ROUND(AB72/(S72+0.0001),3),"")</f>
        <v/>
      </c>
      <c r="AD72" s="6">
        <f>IFERROR(ROUND(AB72/(R72/1000),3),"")</f>
        <v/>
      </c>
    </row>
    <row r="73">
      <c r="AB73" s="6">
        <f>MAX(0,ROUND(T73*0.2+U73*0.2+V73*0.15+W73*0.15+X73*0.1+Z73*0.1+AA73*0.1-Y73,3))</f>
        <v/>
      </c>
      <c r="AC73" s="6">
        <f>IFERROR(ROUND(AB73/(S73+0.0001),3),"")</f>
        <v/>
      </c>
      <c r="AD73" s="6">
        <f>IFERROR(ROUND(AB73/(R73/1000),3),"")</f>
        <v/>
      </c>
    </row>
    <row r="74">
      <c r="AB74" s="6">
        <f>MAX(0,ROUND(T74*0.2+U74*0.2+V74*0.15+W74*0.15+X74*0.1+Z74*0.1+AA74*0.1-Y74,3))</f>
        <v/>
      </c>
      <c r="AC74" s="6">
        <f>IFERROR(ROUND(AB74/(S74+0.0001),3),"")</f>
        <v/>
      </c>
      <c r="AD74" s="6">
        <f>IFERROR(ROUND(AB74/(R74/1000),3),"")</f>
        <v/>
      </c>
    </row>
    <row r="75">
      <c r="AB75" s="6">
        <f>MAX(0,ROUND(T75*0.2+U75*0.2+V75*0.15+W75*0.15+X75*0.1+Z75*0.1+AA75*0.1-Y75,3))</f>
        <v/>
      </c>
      <c r="AC75" s="6">
        <f>IFERROR(ROUND(AB75/(S75+0.0001),3),"")</f>
        <v/>
      </c>
      <c r="AD75" s="6">
        <f>IFERROR(ROUND(AB75/(R75/1000),3),"")</f>
        <v/>
      </c>
    </row>
    <row r="76">
      <c r="AB76" s="6">
        <f>MAX(0,ROUND(T76*0.2+U76*0.2+V76*0.15+W76*0.15+X76*0.1+Z76*0.1+AA76*0.1-Y76,3))</f>
        <v/>
      </c>
      <c r="AC76" s="6">
        <f>IFERROR(ROUND(AB76/(S76+0.0001),3),"")</f>
        <v/>
      </c>
      <c r="AD76" s="6">
        <f>IFERROR(ROUND(AB76/(R76/1000),3),"")</f>
        <v/>
      </c>
    </row>
    <row r="77">
      <c r="AB77" s="6">
        <f>MAX(0,ROUND(T77*0.2+U77*0.2+V77*0.15+W77*0.15+X77*0.1+Z77*0.1+AA77*0.1-Y77,3))</f>
        <v/>
      </c>
      <c r="AC77" s="6">
        <f>IFERROR(ROUND(AB77/(S77+0.0001),3),"")</f>
        <v/>
      </c>
      <c r="AD77" s="6">
        <f>IFERROR(ROUND(AB77/(R77/1000),3),"")</f>
        <v/>
      </c>
    </row>
    <row r="78">
      <c r="AB78" s="6">
        <f>MAX(0,ROUND(T78*0.2+U78*0.2+V78*0.15+W78*0.15+X78*0.1+Z78*0.1+AA78*0.1-Y78,3))</f>
        <v/>
      </c>
      <c r="AC78" s="6">
        <f>IFERROR(ROUND(AB78/(S78+0.0001),3),"")</f>
        <v/>
      </c>
      <c r="AD78" s="6">
        <f>IFERROR(ROUND(AB78/(R78/1000),3),"")</f>
        <v/>
      </c>
    </row>
    <row r="79">
      <c r="AB79" s="6">
        <f>MAX(0,ROUND(T79*0.2+U79*0.2+V79*0.15+W79*0.15+X79*0.1+Z79*0.1+AA79*0.1-Y79,3))</f>
        <v/>
      </c>
      <c r="AC79" s="6">
        <f>IFERROR(ROUND(AB79/(S79+0.0001),3),"")</f>
        <v/>
      </c>
      <c r="AD79" s="6">
        <f>IFERROR(ROUND(AB79/(R79/1000),3),"")</f>
        <v/>
      </c>
    </row>
    <row r="80">
      <c r="AB80" s="6">
        <f>MAX(0,ROUND(T80*0.2+U80*0.2+V80*0.15+W80*0.15+X80*0.1+Z80*0.1+AA80*0.1-Y80,3))</f>
        <v/>
      </c>
      <c r="AC80" s="6">
        <f>IFERROR(ROUND(AB80/(S80+0.0001),3),"")</f>
        <v/>
      </c>
      <c r="AD80" s="6">
        <f>IFERROR(ROUND(AB80/(R80/1000),3),"")</f>
        <v/>
      </c>
    </row>
    <row r="81">
      <c r="AB81" s="6">
        <f>MAX(0,ROUND(T81*0.2+U81*0.2+V81*0.15+W81*0.15+X81*0.1+Z81*0.1+AA81*0.1-Y81,3))</f>
        <v/>
      </c>
      <c r="AC81" s="6">
        <f>IFERROR(ROUND(AB81/(S81+0.0001),3),"")</f>
        <v/>
      </c>
      <c r="AD81" s="6">
        <f>IFERROR(ROUND(AB81/(R81/1000),3),"")</f>
        <v/>
      </c>
    </row>
    <row r="82">
      <c r="AB82" s="6">
        <f>MAX(0,ROUND(T82*0.2+U82*0.2+V82*0.15+W82*0.15+X82*0.1+Z82*0.1+AA82*0.1-Y82,3))</f>
        <v/>
      </c>
      <c r="AC82" s="6">
        <f>IFERROR(ROUND(AB82/(S82+0.0001),3),"")</f>
        <v/>
      </c>
      <c r="AD82" s="6">
        <f>IFERROR(ROUND(AB82/(R82/1000),3),"")</f>
        <v/>
      </c>
    </row>
    <row r="83">
      <c r="AB83" s="6">
        <f>MAX(0,ROUND(T83*0.2+U83*0.2+V83*0.15+W83*0.15+X83*0.1+Z83*0.1+AA83*0.1-Y83,3))</f>
        <v/>
      </c>
      <c r="AC83" s="6">
        <f>IFERROR(ROUND(AB83/(S83+0.0001),3),"")</f>
        <v/>
      </c>
      <c r="AD83" s="6">
        <f>IFERROR(ROUND(AB83/(R83/1000),3),"")</f>
        <v/>
      </c>
    </row>
    <row r="84">
      <c r="AB84" s="6">
        <f>MAX(0,ROUND(T84*0.2+U84*0.2+V84*0.15+W84*0.15+X84*0.1+Z84*0.1+AA84*0.1-Y84,3))</f>
        <v/>
      </c>
      <c r="AC84" s="6">
        <f>IFERROR(ROUND(AB84/(S84+0.0001),3),"")</f>
        <v/>
      </c>
      <c r="AD84" s="6">
        <f>IFERROR(ROUND(AB84/(R84/1000),3),"")</f>
        <v/>
      </c>
    </row>
    <row r="85">
      <c r="AB85" s="6">
        <f>MAX(0,ROUND(T85*0.2+U85*0.2+V85*0.15+W85*0.15+X85*0.1+Z85*0.1+AA85*0.1-Y85,3))</f>
        <v/>
      </c>
      <c r="AC85" s="6">
        <f>IFERROR(ROUND(AB85/(S85+0.0001),3),"")</f>
        <v/>
      </c>
      <c r="AD85" s="6">
        <f>IFERROR(ROUND(AB85/(R85/1000),3),"")</f>
        <v/>
      </c>
    </row>
    <row r="86">
      <c r="AB86" s="6">
        <f>MAX(0,ROUND(T86*0.2+U86*0.2+V86*0.15+W86*0.15+X86*0.1+Z86*0.1+AA86*0.1-Y86,3))</f>
        <v/>
      </c>
      <c r="AC86" s="6">
        <f>IFERROR(ROUND(AB86/(S86+0.0001),3),"")</f>
        <v/>
      </c>
      <c r="AD86" s="6">
        <f>IFERROR(ROUND(AB86/(R86/1000),3),"")</f>
        <v/>
      </c>
    </row>
    <row r="87">
      <c r="AB87" s="6">
        <f>MAX(0,ROUND(T87*0.2+U87*0.2+V87*0.15+W87*0.15+X87*0.1+Z87*0.1+AA87*0.1-Y87,3))</f>
        <v/>
      </c>
      <c r="AC87" s="6">
        <f>IFERROR(ROUND(AB87/(S87+0.0001),3),"")</f>
        <v/>
      </c>
      <c r="AD87" s="6">
        <f>IFERROR(ROUND(AB87/(R87/1000),3),"")</f>
        <v/>
      </c>
    </row>
    <row r="88">
      <c r="AB88" s="6">
        <f>MAX(0,ROUND(T88*0.2+U88*0.2+V88*0.15+W88*0.15+X88*0.1+Z88*0.1+AA88*0.1-Y88,3))</f>
        <v/>
      </c>
      <c r="AC88" s="6">
        <f>IFERROR(ROUND(AB88/(S88+0.0001),3),"")</f>
        <v/>
      </c>
      <c r="AD88" s="6">
        <f>IFERROR(ROUND(AB88/(R88/1000),3),"")</f>
        <v/>
      </c>
    </row>
    <row r="89">
      <c r="AB89" s="6">
        <f>MAX(0,ROUND(T89*0.2+U89*0.2+V89*0.15+W89*0.15+X89*0.1+Z89*0.1+AA89*0.1-Y89,3))</f>
        <v/>
      </c>
      <c r="AC89" s="6">
        <f>IFERROR(ROUND(AB89/(S89+0.0001),3),"")</f>
        <v/>
      </c>
      <c r="AD89" s="6">
        <f>IFERROR(ROUND(AB89/(R89/1000),3),"")</f>
        <v/>
      </c>
    </row>
    <row r="90">
      <c r="AB90" s="6">
        <f>MAX(0,ROUND(T90*0.2+U90*0.2+V90*0.15+W90*0.15+X90*0.1+Z90*0.1+AA90*0.1-Y90,3))</f>
        <v/>
      </c>
      <c r="AC90" s="6">
        <f>IFERROR(ROUND(AB90/(S90+0.0001),3),"")</f>
        <v/>
      </c>
      <c r="AD90" s="6">
        <f>IFERROR(ROUND(AB90/(R90/1000),3),"")</f>
        <v/>
      </c>
    </row>
    <row r="91">
      <c r="AB91" s="6">
        <f>MAX(0,ROUND(T91*0.2+U91*0.2+V91*0.15+W91*0.15+X91*0.1+Z91*0.1+AA91*0.1-Y91,3))</f>
        <v/>
      </c>
      <c r="AC91" s="6">
        <f>IFERROR(ROUND(AB91/(S91+0.0001),3),"")</f>
        <v/>
      </c>
      <c r="AD91" s="6">
        <f>IFERROR(ROUND(AB91/(R91/1000),3),"")</f>
        <v/>
      </c>
    </row>
    <row r="92">
      <c r="AB92" s="6">
        <f>MAX(0,ROUND(T92*0.2+U92*0.2+V92*0.15+W92*0.15+X92*0.1+Z92*0.1+AA92*0.1-Y92,3))</f>
        <v/>
      </c>
      <c r="AC92" s="6">
        <f>IFERROR(ROUND(AB92/(S92+0.0001),3),"")</f>
        <v/>
      </c>
      <c r="AD92" s="6">
        <f>IFERROR(ROUND(AB92/(R92/1000),3),"")</f>
        <v/>
      </c>
    </row>
    <row r="93">
      <c r="AB93" s="6">
        <f>MAX(0,ROUND(T93*0.2+U93*0.2+V93*0.15+W93*0.15+X93*0.1+Z93*0.1+AA93*0.1-Y93,3))</f>
        <v/>
      </c>
      <c r="AC93" s="6">
        <f>IFERROR(ROUND(AB93/(S93+0.0001),3),"")</f>
        <v/>
      </c>
      <c r="AD93" s="6">
        <f>IFERROR(ROUND(AB93/(R93/1000),3),"")</f>
        <v/>
      </c>
    </row>
    <row r="94">
      <c r="AB94" s="6">
        <f>MAX(0,ROUND(T94*0.2+U94*0.2+V94*0.15+W94*0.15+X94*0.1+Z94*0.1+AA94*0.1-Y94,3))</f>
        <v/>
      </c>
      <c r="AC94" s="6">
        <f>IFERROR(ROUND(AB94/(S94+0.0001),3),"")</f>
        <v/>
      </c>
      <c r="AD94" s="6">
        <f>IFERROR(ROUND(AB94/(R94/1000),3),"")</f>
        <v/>
      </c>
    </row>
    <row r="95">
      <c r="AB95" s="6">
        <f>MAX(0,ROUND(T95*0.2+U95*0.2+V95*0.15+W95*0.15+X95*0.1+Z95*0.1+AA95*0.1-Y95,3))</f>
        <v/>
      </c>
      <c r="AC95" s="6">
        <f>IFERROR(ROUND(AB95/(S95+0.0001),3),"")</f>
        <v/>
      </c>
      <c r="AD95" s="6">
        <f>IFERROR(ROUND(AB95/(R95/1000),3),"")</f>
        <v/>
      </c>
    </row>
    <row r="96">
      <c r="AB96" s="6">
        <f>MAX(0,ROUND(T96*0.2+U96*0.2+V96*0.15+W96*0.15+X96*0.1+Z96*0.1+AA96*0.1-Y96,3))</f>
        <v/>
      </c>
      <c r="AC96" s="6">
        <f>IFERROR(ROUND(AB96/(S96+0.0001),3),"")</f>
        <v/>
      </c>
      <c r="AD96" s="6">
        <f>IFERROR(ROUND(AB96/(R96/1000),3),"")</f>
        <v/>
      </c>
    </row>
    <row r="97">
      <c r="AB97" s="6">
        <f>MAX(0,ROUND(T97*0.2+U97*0.2+V97*0.15+W97*0.15+X97*0.1+Z97*0.1+AA97*0.1-Y97,3))</f>
        <v/>
      </c>
      <c r="AC97" s="6">
        <f>IFERROR(ROUND(AB97/(S97+0.0001),3),"")</f>
        <v/>
      </c>
      <c r="AD97" s="6">
        <f>IFERROR(ROUND(AB97/(R97/1000),3),"")</f>
        <v/>
      </c>
    </row>
    <row r="98">
      <c r="AB98" s="6">
        <f>MAX(0,ROUND(T98*0.2+U98*0.2+V98*0.15+W98*0.15+X98*0.1+Z98*0.1+AA98*0.1-Y98,3))</f>
        <v/>
      </c>
      <c r="AC98" s="6">
        <f>IFERROR(ROUND(AB98/(S98+0.0001),3),"")</f>
        <v/>
      </c>
      <c r="AD98" s="6">
        <f>IFERROR(ROUND(AB98/(R98/1000),3),"")</f>
        <v/>
      </c>
    </row>
    <row r="99">
      <c r="AB99" s="6">
        <f>MAX(0,ROUND(T99*0.2+U99*0.2+V99*0.15+W99*0.15+X99*0.1+Z99*0.1+AA99*0.1-Y99,3))</f>
        <v/>
      </c>
      <c r="AC99" s="6">
        <f>IFERROR(ROUND(AB99/(S99+0.0001),3),"")</f>
        <v/>
      </c>
      <c r="AD99" s="6">
        <f>IFERROR(ROUND(AB99/(R99/1000),3),"")</f>
        <v/>
      </c>
    </row>
    <row r="100">
      <c r="AB100" s="6">
        <f>MAX(0,ROUND(T100*0.2+U100*0.2+V100*0.15+W100*0.15+X100*0.1+Z100*0.1+AA100*0.1-Y100,3))</f>
        <v/>
      </c>
      <c r="AC100" s="6">
        <f>IFERROR(ROUND(AB100/(S100+0.0001),3),"")</f>
        <v/>
      </c>
      <c r="AD100" s="6">
        <f>IFERROR(ROUND(AB100/(R100/1000),3),"")</f>
        <v/>
      </c>
    </row>
    <row r="101">
      <c r="AB101" s="6">
        <f>MAX(0,ROUND(T101*0.2+U101*0.2+V101*0.15+W101*0.15+X101*0.1+Z101*0.1+AA101*0.1-Y101,3))</f>
        <v/>
      </c>
      <c r="AC101" s="6">
        <f>IFERROR(ROUND(AB101/(S101+0.0001),3),"")</f>
        <v/>
      </c>
      <c r="AD101" s="6">
        <f>IFERROR(ROUND(AB101/(R101/1000),3),"")</f>
        <v/>
      </c>
    </row>
    <row r="102">
      <c r="AB102" s="6">
        <f>MAX(0,ROUND(T102*0.2+U102*0.2+V102*0.15+W102*0.15+X102*0.1+Z102*0.1+AA102*0.1-Y102,3))</f>
        <v/>
      </c>
      <c r="AC102" s="6">
        <f>IFERROR(ROUND(AB102/(S102+0.0001),3),"")</f>
        <v/>
      </c>
      <c r="AD102" s="6">
        <f>IFERROR(ROUND(AB102/(R102/1000),3),"")</f>
        <v/>
      </c>
    </row>
    <row r="103">
      <c r="AB103" s="6">
        <f>MAX(0,ROUND(T103*0.2+U103*0.2+V103*0.15+W103*0.15+X103*0.1+Z103*0.1+AA103*0.1-Y103,3))</f>
        <v/>
      </c>
      <c r="AC103" s="6">
        <f>IFERROR(ROUND(AB103/(S103+0.0001),3),"")</f>
        <v/>
      </c>
      <c r="AD103" s="6">
        <f>IFERROR(ROUND(AB103/(R103/1000),3),"")</f>
        <v/>
      </c>
    </row>
    <row r="104">
      <c r="AB104" s="6">
        <f>MAX(0,ROUND(T104*0.2+U104*0.2+V104*0.15+W104*0.15+X104*0.1+Z104*0.1+AA104*0.1-Y104,3))</f>
        <v/>
      </c>
      <c r="AC104" s="6">
        <f>IFERROR(ROUND(AB104/(S104+0.0001),3),"")</f>
        <v/>
      </c>
      <c r="AD104" s="6">
        <f>IFERROR(ROUND(AB104/(R104/1000),3),"")</f>
        <v/>
      </c>
    </row>
    <row r="105">
      <c r="AB105" s="6">
        <f>MAX(0,ROUND(T105*0.2+U105*0.2+V105*0.15+W105*0.15+X105*0.1+Z105*0.1+AA105*0.1-Y105,3))</f>
        <v/>
      </c>
      <c r="AC105" s="6">
        <f>IFERROR(ROUND(AB105/(S105+0.0001),3),"")</f>
        <v/>
      </c>
      <c r="AD105" s="6">
        <f>IFERROR(ROUND(AB105/(R105/1000),3),"")</f>
        <v/>
      </c>
    </row>
    <row r="106">
      <c r="AB106" s="6">
        <f>MAX(0,ROUND(T106*0.2+U106*0.2+V106*0.15+W106*0.15+X106*0.1+Z106*0.1+AA106*0.1-Y106,3))</f>
        <v/>
      </c>
      <c r="AC106" s="6">
        <f>IFERROR(ROUND(AB106/(S106+0.0001),3),"")</f>
        <v/>
      </c>
      <c r="AD106" s="6">
        <f>IFERROR(ROUND(AB106/(R106/1000),3),"")</f>
        <v/>
      </c>
    </row>
    <row r="107">
      <c r="AB107" s="6">
        <f>MAX(0,ROUND(T107*0.2+U107*0.2+V107*0.15+W107*0.15+X107*0.1+Z107*0.1+AA107*0.1-Y107,3))</f>
        <v/>
      </c>
      <c r="AC107" s="6">
        <f>IFERROR(ROUND(AB107/(S107+0.0001),3),"")</f>
        <v/>
      </c>
      <c r="AD107" s="6">
        <f>IFERROR(ROUND(AB107/(R107/1000),3),"")</f>
        <v/>
      </c>
    </row>
    <row r="108">
      <c r="AB108" s="6">
        <f>MAX(0,ROUND(T108*0.2+U108*0.2+V108*0.15+W108*0.15+X108*0.1+Z108*0.1+AA108*0.1-Y108,3))</f>
        <v/>
      </c>
      <c r="AC108" s="6">
        <f>IFERROR(ROUND(AB108/(S108+0.0001),3),"")</f>
        <v/>
      </c>
      <c r="AD108" s="6">
        <f>IFERROR(ROUND(AB108/(R108/1000),3),"")</f>
        <v/>
      </c>
    </row>
    <row r="109">
      <c r="AB109" s="6">
        <f>MAX(0,ROUND(T109*0.2+U109*0.2+V109*0.15+W109*0.15+X109*0.1+Z109*0.1+AA109*0.1-Y109,3))</f>
        <v/>
      </c>
      <c r="AC109" s="6">
        <f>IFERROR(ROUND(AB109/(S109+0.0001),3),"")</f>
        <v/>
      </c>
      <c r="AD109" s="6">
        <f>IFERROR(ROUND(AB109/(R109/1000),3),"")</f>
        <v/>
      </c>
    </row>
    <row r="110">
      <c r="AB110" s="6">
        <f>MAX(0,ROUND(T110*0.2+U110*0.2+V110*0.15+W110*0.15+X110*0.1+Z110*0.1+AA110*0.1-Y110,3))</f>
        <v/>
      </c>
      <c r="AC110" s="6">
        <f>IFERROR(ROUND(AB110/(S110+0.0001),3),"")</f>
        <v/>
      </c>
      <c r="AD110" s="6">
        <f>IFERROR(ROUND(AB110/(R110/1000),3),"")</f>
        <v/>
      </c>
    </row>
    <row r="111">
      <c r="AB111" s="6">
        <f>MAX(0,ROUND(T111*0.2+U111*0.2+V111*0.15+W111*0.15+X111*0.1+Z111*0.1+AA111*0.1-Y111,3))</f>
        <v/>
      </c>
      <c r="AC111" s="6">
        <f>IFERROR(ROUND(AB111/(S111+0.0001),3),"")</f>
        <v/>
      </c>
      <c r="AD111" s="6">
        <f>IFERROR(ROUND(AB111/(R111/1000),3),"")</f>
        <v/>
      </c>
    </row>
    <row r="112">
      <c r="AB112" s="6">
        <f>MAX(0,ROUND(T112*0.2+U112*0.2+V112*0.15+W112*0.15+X112*0.1+Z112*0.1+AA112*0.1-Y112,3))</f>
        <v/>
      </c>
      <c r="AC112" s="6">
        <f>IFERROR(ROUND(AB112/(S112+0.0001),3),"")</f>
        <v/>
      </c>
      <c r="AD112" s="6">
        <f>IFERROR(ROUND(AB112/(R112/1000),3),"")</f>
        <v/>
      </c>
    </row>
    <row r="113">
      <c r="AB113" s="6">
        <f>MAX(0,ROUND(T113*0.2+U113*0.2+V113*0.15+W113*0.15+X113*0.1+Z113*0.1+AA113*0.1-Y113,3))</f>
        <v/>
      </c>
      <c r="AC113" s="6">
        <f>IFERROR(ROUND(AB113/(S113+0.0001),3),"")</f>
        <v/>
      </c>
      <c r="AD113" s="6">
        <f>IFERROR(ROUND(AB113/(R113/1000),3),"")</f>
        <v/>
      </c>
    </row>
    <row r="114">
      <c r="AB114" s="6">
        <f>MAX(0,ROUND(T114*0.2+U114*0.2+V114*0.15+W114*0.15+X114*0.1+Z114*0.1+AA114*0.1-Y114,3))</f>
        <v/>
      </c>
      <c r="AC114" s="6">
        <f>IFERROR(ROUND(AB114/(S114+0.0001),3),"")</f>
        <v/>
      </c>
      <c r="AD114" s="6">
        <f>IFERROR(ROUND(AB114/(R114/1000),3),"")</f>
        <v/>
      </c>
    </row>
    <row r="115">
      <c r="AB115" s="6">
        <f>MAX(0,ROUND(T115*0.2+U115*0.2+V115*0.15+W115*0.15+X115*0.1+Z115*0.1+AA115*0.1-Y115,3))</f>
        <v/>
      </c>
      <c r="AC115" s="6">
        <f>IFERROR(ROUND(AB115/(S115+0.0001),3),"")</f>
        <v/>
      </c>
      <c r="AD115" s="6">
        <f>IFERROR(ROUND(AB115/(R115/1000),3),"")</f>
        <v/>
      </c>
    </row>
    <row r="116">
      <c r="AB116" s="6">
        <f>MAX(0,ROUND(T116*0.2+U116*0.2+V116*0.15+W116*0.15+X116*0.1+Z116*0.1+AA116*0.1-Y116,3))</f>
        <v/>
      </c>
      <c r="AC116" s="6">
        <f>IFERROR(ROUND(AB116/(S116+0.0001),3),"")</f>
        <v/>
      </c>
      <c r="AD116" s="6">
        <f>IFERROR(ROUND(AB116/(R116/1000),3),"")</f>
        <v/>
      </c>
    </row>
    <row r="117">
      <c r="AB117" s="6">
        <f>MAX(0,ROUND(T117*0.2+U117*0.2+V117*0.15+W117*0.15+X117*0.1+Z117*0.1+AA117*0.1-Y117,3))</f>
        <v/>
      </c>
      <c r="AC117" s="6">
        <f>IFERROR(ROUND(AB117/(S117+0.0001),3),"")</f>
        <v/>
      </c>
      <c r="AD117" s="6">
        <f>IFERROR(ROUND(AB117/(R117/1000),3),"")</f>
        <v/>
      </c>
    </row>
    <row r="118">
      <c r="AB118" s="6">
        <f>MAX(0,ROUND(T118*0.2+U118*0.2+V118*0.15+W118*0.15+X118*0.1+Z118*0.1+AA118*0.1-Y118,3))</f>
        <v/>
      </c>
      <c r="AC118" s="6">
        <f>IFERROR(ROUND(AB118/(S118+0.0001),3),"")</f>
        <v/>
      </c>
      <c r="AD118" s="6">
        <f>IFERROR(ROUND(AB118/(R118/1000),3),"")</f>
        <v/>
      </c>
    </row>
    <row r="119">
      <c r="AB119" s="6">
        <f>MAX(0,ROUND(T119*0.2+U119*0.2+V119*0.15+W119*0.15+X119*0.1+Z119*0.1+AA119*0.1-Y119,3))</f>
        <v/>
      </c>
      <c r="AC119" s="6">
        <f>IFERROR(ROUND(AB119/(S119+0.0001),3),"")</f>
        <v/>
      </c>
      <c r="AD119" s="6">
        <f>IFERROR(ROUND(AB119/(R119/1000),3),"")</f>
        <v/>
      </c>
    </row>
    <row r="120">
      <c r="AB120" s="6">
        <f>MAX(0,ROUND(T120*0.2+U120*0.2+V120*0.15+W120*0.15+X120*0.1+Z120*0.1+AA120*0.1-Y120,3))</f>
        <v/>
      </c>
      <c r="AC120" s="6">
        <f>IFERROR(ROUND(AB120/(S120+0.0001),3),"")</f>
        <v/>
      </c>
      <c r="AD120" s="6">
        <f>IFERROR(ROUND(AB120/(R120/1000),3),"")</f>
        <v/>
      </c>
    </row>
    <row r="121">
      <c r="AB121" s="6">
        <f>MAX(0,ROUND(T121*0.2+U121*0.2+V121*0.15+W121*0.15+X121*0.1+Z121*0.1+AA121*0.1-Y121,3))</f>
        <v/>
      </c>
      <c r="AC121" s="6">
        <f>IFERROR(ROUND(AB121/(S121+0.0001),3),"")</f>
        <v/>
      </c>
      <c r="AD121" s="6">
        <f>IFERROR(ROUND(AB121/(R121/1000),3),"")</f>
        <v/>
      </c>
    </row>
    <row r="122">
      <c r="AB122" s="6">
        <f>MAX(0,ROUND(T122*0.2+U122*0.2+V122*0.15+W122*0.15+X122*0.1+Z122*0.1+AA122*0.1-Y122,3))</f>
        <v/>
      </c>
      <c r="AC122" s="6">
        <f>IFERROR(ROUND(AB122/(S122+0.0001),3),"")</f>
        <v/>
      </c>
      <c r="AD122" s="6">
        <f>IFERROR(ROUND(AB122/(R122/1000),3),"")</f>
        <v/>
      </c>
    </row>
    <row r="123">
      <c r="AB123" s="6">
        <f>MAX(0,ROUND(T123*0.2+U123*0.2+V123*0.15+W123*0.15+X123*0.1+Z123*0.1+AA123*0.1-Y123,3))</f>
        <v/>
      </c>
      <c r="AC123" s="6">
        <f>IFERROR(ROUND(AB123/(S123+0.0001),3),"")</f>
        <v/>
      </c>
      <c r="AD123" s="6">
        <f>IFERROR(ROUND(AB123/(R123/1000),3),"")</f>
        <v/>
      </c>
    </row>
    <row r="124">
      <c r="AB124" s="6">
        <f>MAX(0,ROUND(T124*0.2+U124*0.2+V124*0.15+W124*0.15+X124*0.1+Z124*0.1+AA124*0.1-Y124,3))</f>
        <v/>
      </c>
      <c r="AC124" s="6">
        <f>IFERROR(ROUND(AB124/(S124+0.0001),3),"")</f>
        <v/>
      </c>
      <c r="AD124" s="6">
        <f>IFERROR(ROUND(AB124/(R124/1000),3),"")</f>
        <v/>
      </c>
    </row>
    <row r="125">
      <c r="AB125" s="6">
        <f>MAX(0,ROUND(T125*0.2+U125*0.2+V125*0.15+W125*0.15+X125*0.1+Z125*0.1+AA125*0.1-Y125,3))</f>
        <v/>
      </c>
      <c r="AC125" s="6">
        <f>IFERROR(ROUND(AB125/(S125+0.0001),3),"")</f>
        <v/>
      </c>
      <c r="AD125" s="6">
        <f>IFERROR(ROUND(AB125/(R125/1000),3),"")</f>
        <v/>
      </c>
    </row>
    <row r="126">
      <c r="AB126" s="6">
        <f>MAX(0,ROUND(T126*0.2+U126*0.2+V126*0.15+W126*0.15+X126*0.1+Z126*0.1+AA126*0.1-Y126,3))</f>
        <v/>
      </c>
      <c r="AC126" s="6">
        <f>IFERROR(ROUND(AB126/(S126+0.0001),3),"")</f>
        <v/>
      </c>
      <c r="AD126" s="6">
        <f>IFERROR(ROUND(AB126/(R126/1000),3),"")</f>
        <v/>
      </c>
    </row>
    <row r="127">
      <c r="AB127" s="6">
        <f>MAX(0,ROUND(T127*0.2+U127*0.2+V127*0.15+W127*0.15+X127*0.1+Z127*0.1+AA127*0.1-Y127,3))</f>
        <v/>
      </c>
      <c r="AC127" s="6">
        <f>IFERROR(ROUND(AB127/(S127+0.0001),3),"")</f>
        <v/>
      </c>
      <c r="AD127" s="6">
        <f>IFERROR(ROUND(AB127/(R127/1000),3),"")</f>
        <v/>
      </c>
    </row>
    <row r="128">
      <c r="AB128" s="6">
        <f>MAX(0,ROUND(T128*0.2+U128*0.2+V128*0.15+W128*0.15+X128*0.1+Z128*0.1+AA128*0.1-Y128,3))</f>
        <v/>
      </c>
      <c r="AC128" s="6">
        <f>IFERROR(ROUND(AB128/(S128+0.0001),3),"")</f>
        <v/>
      </c>
      <c r="AD128" s="6">
        <f>IFERROR(ROUND(AB128/(R128/1000),3),"")</f>
        <v/>
      </c>
    </row>
    <row r="129">
      <c r="AB129" s="6">
        <f>MAX(0,ROUND(T129*0.2+U129*0.2+V129*0.15+W129*0.15+X129*0.1+Z129*0.1+AA129*0.1-Y129,3))</f>
        <v/>
      </c>
      <c r="AC129" s="6">
        <f>IFERROR(ROUND(AB129/(S129+0.0001),3),"")</f>
        <v/>
      </c>
      <c r="AD129" s="6">
        <f>IFERROR(ROUND(AB129/(R129/1000),3),"")</f>
        <v/>
      </c>
    </row>
    <row r="130">
      <c r="AB130" s="6">
        <f>MAX(0,ROUND(T130*0.2+U130*0.2+V130*0.15+W130*0.15+X130*0.1+Z130*0.1+AA130*0.1-Y130,3))</f>
        <v/>
      </c>
      <c r="AC130" s="6">
        <f>IFERROR(ROUND(AB130/(S130+0.0001),3),"")</f>
        <v/>
      </c>
      <c r="AD130" s="6">
        <f>IFERROR(ROUND(AB130/(R130/1000),3),"")</f>
        <v/>
      </c>
    </row>
    <row r="131">
      <c r="AB131" s="6">
        <f>MAX(0,ROUND(T131*0.2+U131*0.2+V131*0.15+W131*0.15+X131*0.1+Z131*0.1+AA131*0.1-Y131,3))</f>
        <v/>
      </c>
      <c r="AC131" s="6">
        <f>IFERROR(ROUND(AB131/(S131+0.0001),3),"")</f>
        <v/>
      </c>
      <c r="AD131" s="6">
        <f>IFERROR(ROUND(AB131/(R131/1000),3),"")</f>
        <v/>
      </c>
    </row>
    <row r="132">
      <c r="AB132" s="6">
        <f>MAX(0,ROUND(T132*0.2+U132*0.2+V132*0.15+W132*0.15+X132*0.1+Z132*0.1+AA132*0.1-Y132,3))</f>
        <v/>
      </c>
      <c r="AC132" s="6">
        <f>IFERROR(ROUND(AB132/(S132+0.0001),3),"")</f>
        <v/>
      </c>
      <c r="AD132" s="6">
        <f>IFERROR(ROUND(AB132/(R132/1000),3),"")</f>
        <v/>
      </c>
    </row>
    <row r="133">
      <c r="AB133" s="6">
        <f>MAX(0,ROUND(T133*0.2+U133*0.2+V133*0.15+W133*0.15+X133*0.1+Z133*0.1+AA133*0.1-Y133,3))</f>
        <v/>
      </c>
      <c r="AC133" s="6">
        <f>IFERROR(ROUND(AB133/(S133+0.0001),3),"")</f>
        <v/>
      </c>
      <c r="AD133" s="6">
        <f>IFERROR(ROUND(AB133/(R133/1000),3),"")</f>
        <v/>
      </c>
    </row>
    <row r="134">
      <c r="AB134" s="6">
        <f>MAX(0,ROUND(T134*0.2+U134*0.2+V134*0.15+W134*0.15+X134*0.1+Z134*0.1+AA134*0.1-Y134,3))</f>
        <v/>
      </c>
      <c r="AC134" s="6">
        <f>IFERROR(ROUND(AB134/(S134+0.0001),3),"")</f>
        <v/>
      </c>
      <c r="AD134" s="6">
        <f>IFERROR(ROUND(AB134/(R134/1000),3),"")</f>
        <v/>
      </c>
    </row>
    <row r="135">
      <c r="AB135" s="6">
        <f>MAX(0,ROUND(T135*0.2+U135*0.2+V135*0.15+W135*0.15+X135*0.1+Z135*0.1+AA135*0.1-Y135,3))</f>
        <v/>
      </c>
      <c r="AC135" s="6">
        <f>IFERROR(ROUND(AB135/(S135+0.0001),3),"")</f>
        <v/>
      </c>
      <c r="AD135" s="6">
        <f>IFERROR(ROUND(AB135/(R135/1000),3),"")</f>
        <v/>
      </c>
    </row>
    <row r="136">
      <c r="AB136" s="6">
        <f>MAX(0,ROUND(T136*0.2+U136*0.2+V136*0.15+W136*0.15+X136*0.1+Z136*0.1+AA136*0.1-Y136,3))</f>
        <v/>
      </c>
      <c r="AC136" s="6">
        <f>IFERROR(ROUND(AB136/(S136+0.0001),3),"")</f>
        <v/>
      </c>
      <c r="AD136" s="6">
        <f>IFERROR(ROUND(AB136/(R136/1000),3),"")</f>
        <v/>
      </c>
    </row>
    <row r="137">
      <c r="AB137" s="6">
        <f>MAX(0,ROUND(T137*0.2+U137*0.2+V137*0.15+W137*0.15+X137*0.1+Z137*0.1+AA137*0.1-Y137,3))</f>
        <v/>
      </c>
      <c r="AC137" s="6">
        <f>IFERROR(ROUND(AB137/(S137+0.0001),3),"")</f>
        <v/>
      </c>
      <c r="AD137" s="6">
        <f>IFERROR(ROUND(AB137/(R137/1000),3),"")</f>
        <v/>
      </c>
    </row>
    <row r="138">
      <c r="AB138" s="6">
        <f>MAX(0,ROUND(T138*0.2+U138*0.2+V138*0.15+W138*0.15+X138*0.1+Z138*0.1+AA138*0.1-Y138,3))</f>
        <v/>
      </c>
      <c r="AC138" s="6">
        <f>IFERROR(ROUND(AB138/(S138+0.0001),3),"")</f>
        <v/>
      </c>
      <c r="AD138" s="6">
        <f>IFERROR(ROUND(AB138/(R138/1000),3),"")</f>
        <v/>
      </c>
    </row>
    <row r="139">
      <c r="AB139" s="6">
        <f>MAX(0,ROUND(T139*0.2+U139*0.2+V139*0.15+W139*0.15+X139*0.1+Z139*0.1+AA139*0.1-Y139,3))</f>
        <v/>
      </c>
      <c r="AC139" s="6">
        <f>IFERROR(ROUND(AB139/(S139+0.0001),3),"")</f>
        <v/>
      </c>
      <c r="AD139" s="6">
        <f>IFERROR(ROUND(AB139/(R139/1000),3),"")</f>
        <v/>
      </c>
    </row>
    <row r="140">
      <c r="AB140" s="6">
        <f>MAX(0,ROUND(T140*0.2+U140*0.2+V140*0.15+W140*0.15+X140*0.1+Z140*0.1+AA140*0.1-Y140,3))</f>
        <v/>
      </c>
      <c r="AC140" s="6">
        <f>IFERROR(ROUND(AB140/(S140+0.0001),3),"")</f>
        <v/>
      </c>
      <c r="AD140" s="6">
        <f>IFERROR(ROUND(AB140/(R140/1000),3),"")</f>
        <v/>
      </c>
    </row>
    <row r="141">
      <c r="AB141" s="6">
        <f>MAX(0,ROUND(T141*0.2+U141*0.2+V141*0.15+W141*0.15+X141*0.1+Z141*0.1+AA141*0.1-Y141,3))</f>
        <v/>
      </c>
      <c r="AC141" s="6">
        <f>IFERROR(ROUND(AB141/(S141+0.0001),3),"")</f>
        <v/>
      </c>
      <c r="AD141" s="6">
        <f>IFERROR(ROUND(AB141/(R141/1000),3),"")</f>
        <v/>
      </c>
    </row>
    <row r="142">
      <c r="AB142" s="6">
        <f>MAX(0,ROUND(T142*0.2+U142*0.2+V142*0.15+W142*0.15+X142*0.1+Z142*0.1+AA142*0.1-Y142,3))</f>
        <v/>
      </c>
      <c r="AC142" s="6">
        <f>IFERROR(ROUND(AB142/(S142+0.0001),3),"")</f>
        <v/>
      </c>
      <c r="AD142" s="6">
        <f>IFERROR(ROUND(AB142/(R142/1000),3),"")</f>
        <v/>
      </c>
    </row>
    <row r="143">
      <c r="AB143" s="6">
        <f>MAX(0,ROUND(T143*0.2+U143*0.2+V143*0.15+W143*0.15+X143*0.1+Z143*0.1+AA143*0.1-Y143,3))</f>
        <v/>
      </c>
      <c r="AC143" s="6">
        <f>IFERROR(ROUND(AB143/(S143+0.0001),3),"")</f>
        <v/>
      </c>
      <c r="AD143" s="6">
        <f>IFERROR(ROUND(AB143/(R143/1000),3),"")</f>
        <v/>
      </c>
    </row>
    <row r="144">
      <c r="AB144" s="6">
        <f>MAX(0,ROUND(T144*0.2+U144*0.2+V144*0.15+W144*0.15+X144*0.1+Z144*0.1+AA144*0.1-Y144,3))</f>
        <v/>
      </c>
      <c r="AC144" s="6">
        <f>IFERROR(ROUND(AB144/(S144+0.0001),3),"")</f>
        <v/>
      </c>
      <c r="AD144" s="6">
        <f>IFERROR(ROUND(AB144/(R144/1000),3),"")</f>
        <v/>
      </c>
    </row>
    <row r="145">
      <c r="AB145" s="6">
        <f>MAX(0,ROUND(T145*0.2+U145*0.2+V145*0.15+W145*0.15+X145*0.1+Z145*0.1+AA145*0.1-Y145,3))</f>
        <v/>
      </c>
      <c r="AC145" s="6">
        <f>IFERROR(ROUND(AB145/(S145+0.0001),3),"")</f>
        <v/>
      </c>
      <c r="AD145" s="6">
        <f>IFERROR(ROUND(AB145/(R145/1000),3),"")</f>
        <v/>
      </c>
    </row>
    <row r="146">
      <c r="AB146" s="6">
        <f>MAX(0,ROUND(T146*0.2+U146*0.2+V146*0.15+W146*0.15+X146*0.1+Z146*0.1+AA146*0.1-Y146,3))</f>
        <v/>
      </c>
      <c r="AC146" s="6">
        <f>IFERROR(ROUND(AB146/(S146+0.0001),3),"")</f>
        <v/>
      </c>
      <c r="AD146" s="6">
        <f>IFERROR(ROUND(AB146/(R146/1000),3),"")</f>
        <v/>
      </c>
    </row>
    <row r="147">
      <c r="AB147" s="6">
        <f>MAX(0,ROUND(T147*0.2+U147*0.2+V147*0.15+W147*0.15+X147*0.1+Z147*0.1+AA147*0.1-Y147,3))</f>
        <v/>
      </c>
      <c r="AC147" s="6">
        <f>IFERROR(ROUND(AB147/(S147+0.0001),3),"")</f>
        <v/>
      </c>
      <c r="AD147" s="6">
        <f>IFERROR(ROUND(AB147/(R147/1000),3),"")</f>
        <v/>
      </c>
    </row>
    <row r="148">
      <c r="AB148" s="6">
        <f>MAX(0,ROUND(T148*0.2+U148*0.2+V148*0.15+W148*0.15+X148*0.1+Z148*0.1+AA148*0.1-Y148,3))</f>
        <v/>
      </c>
      <c r="AC148" s="6">
        <f>IFERROR(ROUND(AB148/(S148+0.0001),3),"")</f>
        <v/>
      </c>
      <c r="AD148" s="6">
        <f>IFERROR(ROUND(AB148/(R148/1000),3),"")</f>
        <v/>
      </c>
    </row>
    <row r="149">
      <c r="AB149" s="6">
        <f>MAX(0,ROUND(T149*0.2+U149*0.2+V149*0.15+W149*0.15+X149*0.1+Z149*0.1+AA149*0.1-Y149,3))</f>
        <v/>
      </c>
      <c r="AC149" s="6">
        <f>IFERROR(ROUND(AB149/(S149+0.0001),3),"")</f>
        <v/>
      </c>
      <c r="AD149" s="6">
        <f>IFERROR(ROUND(AB149/(R149/1000),3),"")</f>
        <v/>
      </c>
    </row>
    <row r="150">
      <c r="AB150" s="6">
        <f>MAX(0,ROUND(T150*0.2+U150*0.2+V150*0.15+W150*0.15+X150*0.1+Z150*0.1+AA150*0.1-Y150,3))</f>
        <v/>
      </c>
      <c r="AC150" s="6">
        <f>IFERROR(ROUND(AB150/(S150+0.0001),3),"")</f>
        <v/>
      </c>
      <c r="AD150" s="6">
        <f>IFERROR(ROUND(AB150/(R150/1000),3),"")</f>
        <v/>
      </c>
    </row>
    <row r="151">
      <c r="AB151" s="6">
        <f>MAX(0,ROUND(T151*0.2+U151*0.2+V151*0.15+W151*0.15+X151*0.1+Z151*0.1+AA151*0.1-Y151,3))</f>
        <v/>
      </c>
      <c r="AC151" s="6">
        <f>IFERROR(ROUND(AB151/(S151+0.0001),3),"")</f>
        <v/>
      </c>
      <c r="AD151" s="6">
        <f>IFERROR(ROUND(AB151/(R151/1000),3),"")</f>
        <v/>
      </c>
    </row>
    <row r="152">
      <c r="AB152" s="6">
        <f>MAX(0,ROUND(T152*0.2+U152*0.2+V152*0.15+W152*0.15+X152*0.1+Z152*0.1+AA152*0.1-Y152,3))</f>
        <v/>
      </c>
      <c r="AC152" s="6">
        <f>IFERROR(ROUND(AB152/(S152+0.0001),3),"")</f>
        <v/>
      </c>
      <c r="AD152" s="6">
        <f>IFERROR(ROUND(AB152/(R152/1000),3),"")</f>
        <v/>
      </c>
    </row>
    <row r="153">
      <c r="AB153" s="6">
        <f>MAX(0,ROUND(T153*0.2+U153*0.2+V153*0.15+W153*0.15+X153*0.1+Z153*0.1+AA153*0.1-Y153,3))</f>
        <v/>
      </c>
      <c r="AC153" s="6">
        <f>IFERROR(ROUND(AB153/(S153+0.0001),3),"")</f>
        <v/>
      </c>
      <c r="AD153" s="6">
        <f>IFERROR(ROUND(AB153/(R153/1000),3),"")</f>
        <v/>
      </c>
    </row>
    <row r="154">
      <c r="AB154" s="6">
        <f>MAX(0,ROUND(T154*0.2+U154*0.2+V154*0.15+W154*0.15+X154*0.1+Z154*0.1+AA154*0.1-Y154,3))</f>
        <v/>
      </c>
      <c r="AC154" s="6">
        <f>IFERROR(ROUND(AB154/(S154+0.0001),3),"")</f>
        <v/>
      </c>
      <c r="AD154" s="6">
        <f>IFERROR(ROUND(AB154/(R154/1000),3),"")</f>
        <v/>
      </c>
    </row>
    <row r="155">
      <c r="AB155" s="6">
        <f>MAX(0,ROUND(T155*0.2+U155*0.2+V155*0.15+W155*0.15+X155*0.1+Z155*0.1+AA155*0.1-Y155,3))</f>
        <v/>
      </c>
      <c r="AC155" s="6">
        <f>IFERROR(ROUND(AB155/(S155+0.0001),3),"")</f>
        <v/>
      </c>
      <c r="AD155" s="6">
        <f>IFERROR(ROUND(AB155/(R155/1000),3),"")</f>
        <v/>
      </c>
    </row>
    <row r="156">
      <c r="AB156" s="6">
        <f>MAX(0,ROUND(T156*0.2+U156*0.2+V156*0.15+W156*0.15+X156*0.1+Z156*0.1+AA156*0.1-Y156,3))</f>
        <v/>
      </c>
      <c r="AC156" s="6">
        <f>IFERROR(ROUND(AB156/(S156+0.0001),3),"")</f>
        <v/>
      </c>
      <c r="AD156" s="6">
        <f>IFERROR(ROUND(AB156/(R156/1000),3),"")</f>
        <v/>
      </c>
    </row>
    <row r="157">
      <c r="AB157" s="6">
        <f>MAX(0,ROUND(T157*0.2+U157*0.2+V157*0.15+W157*0.15+X157*0.1+Z157*0.1+AA157*0.1-Y157,3))</f>
        <v/>
      </c>
      <c r="AC157" s="6">
        <f>IFERROR(ROUND(AB157/(S157+0.0001),3),"")</f>
        <v/>
      </c>
      <c r="AD157" s="6">
        <f>IFERROR(ROUND(AB157/(R157/1000),3),"")</f>
        <v/>
      </c>
    </row>
    <row r="158">
      <c r="AB158" s="6">
        <f>MAX(0,ROUND(T158*0.2+U158*0.2+V158*0.15+W158*0.15+X158*0.1+Z158*0.1+AA158*0.1-Y158,3))</f>
        <v/>
      </c>
      <c r="AC158" s="6">
        <f>IFERROR(ROUND(AB158/(S158+0.0001),3),"")</f>
        <v/>
      </c>
      <c r="AD158" s="6">
        <f>IFERROR(ROUND(AB158/(R158/1000),3),"")</f>
        <v/>
      </c>
    </row>
    <row r="159">
      <c r="AB159" s="6">
        <f>MAX(0,ROUND(T159*0.2+U159*0.2+V159*0.15+W159*0.15+X159*0.1+Z159*0.1+AA159*0.1-Y159,3))</f>
        <v/>
      </c>
      <c r="AC159" s="6">
        <f>IFERROR(ROUND(AB159/(S159+0.0001),3),"")</f>
        <v/>
      </c>
      <c r="AD159" s="6">
        <f>IFERROR(ROUND(AB159/(R159/1000),3),"")</f>
        <v/>
      </c>
    </row>
    <row r="160">
      <c r="AB160" s="6">
        <f>MAX(0,ROUND(T160*0.2+U160*0.2+V160*0.15+W160*0.15+X160*0.1+Z160*0.1+AA160*0.1-Y160,3))</f>
        <v/>
      </c>
      <c r="AC160" s="6">
        <f>IFERROR(ROUND(AB160/(S160+0.0001),3),"")</f>
        <v/>
      </c>
      <c r="AD160" s="6">
        <f>IFERROR(ROUND(AB160/(R160/1000),3),"")</f>
        <v/>
      </c>
    </row>
    <row r="161">
      <c r="AB161" s="6">
        <f>MAX(0,ROUND(T161*0.2+U161*0.2+V161*0.15+W161*0.15+X161*0.1+Z161*0.1+AA161*0.1-Y161,3))</f>
        <v/>
      </c>
      <c r="AC161" s="6">
        <f>IFERROR(ROUND(AB161/(S161+0.0001),3),"")</f>
        <v/>
      </c>
      <c r="AD161" s="6">
        <f>IFERROR(ROUND(AB161/(R161/1000),3),"")</f>
        <v/>
      </c>
    </row>
    <row r="162">
      <c r="AB162" s="6">
        <f>MAX(0,ROUND(T162*0.2+U162*0.2+V162*0.15+W162*0.15+X162*0.1+Z162*0.1+AA162*0.1-Y162,3))</f>
        <v/>
      </c>
      <c r="AC162" s="6">
        <f>IFERROR(ROUND(AB162/(S162+0.0001),3),"")</f>
        <v/>
      </c>
      <c r="AD162" s="6">
        <f>IFERROR(ROUND(AB162/(R162/1000),3),"")</f>
        <v/>
      </c>
    </row>
    <row r="163">
      <c r="AB163" s="6">
        <f>MAX(0,ROUND(T163*0.2+U163*0.2+V163*0.15+W163*0.15+X163*0.1+Z163*0.1+AA163*0.1-Y163,3))</f>
        <v/>
      </c>
      <c r="AC163" s="6">
        <f>IFERROR(ROUND(AB163/(S163+0.0001),3),"")</f>
        <v/>
      </c>
      <c r="AD163" s="6">
        <f>IFERROR(ROUND(AB163/(R163/1000),3),"")</f>
        <v/>
      </c>
    </row>
    <row r="164">
      <c r="AB164" s="6">
        <f>MAX(0,ROUND(T164*0.2+U164*0.2+V164*0.15+W164*0.15+X164*0.1+Z164*0.1+AA164*0.1-Y164,3))</f>
        <v/>
      </c>
      <c r="AC164" s="6">
        <f>IFERROR(ROUND(AB164/(S164+0.0001),3),"")</f>
        <v/>
      </c>
      <c r="AD164" s="6">
        <f>IFERROR(ROUND(AB164/(R164/1000),3),"")</f>
        <v/>
      </c>
    </row>
    <row r="165">
      <c r="AB165" s="6">
        <f>MAX(0,ROUND(T165*0.2+U165*0.2+V165*0.15+W165*0.15+X165*0.1+Z165*0.1+AA165*0.1-Y165,3))</f>
        <v/>
      </c>
      <c r="AC165" s="6">
        <f>IFERROR(ROUND(AB165/(S165+0.0001),3),"")</f>
        <v/>
      </c>
      <c r="AD165" s="6">
        <f>IFERROR(ROUND(AB165/(R165/1000),3),"")</f>
        <v/>
      </c>
    </row>
    <row r="166">
      <c r="AB166" s="6">
        <f>MAX(0,ROUND(T166*0.2+U166*0.2+V166*0.15+W166*0.15+X166*0.1+Z166*0.1+AA166*0.1-Y166,3))</f>
        <v/>
      </c>
      <c r="AC166" s="6">
        <f>IFERROR(ROUND(AB166/(S166+0.0001),3),"")</f>
        <v/>
      </c>
      <c r="AD166" s="6">
        <f>IFERROR(ROUND(AB166/(R166/1000),3),"")</f>
        <v/>
      </c>
    </row>
    <row r="167">
      <c r="AB167" s="6">
        <f>MAX(0,ROUND(T167*0.2+U167*0.2+V167*0.15+W167*0.15+X167*0.1+Z167*0.1+AA167*0.1-Y167,3))</f>
        <v/>
      </c>
      <c r="AC167" s="6">
        <f>IFERROR(ROUND(AB167/(S167+0.0001),3),"")</f>
        <v/>
      </c>
      <c r="AD167" s="6">
        <f>IFERROR(ROUND(AB167/(R167/1000),3),"")</f>
        <v/>
      </c>
    </row>
    <row r="168">
      <c r="AB168" s="6">
        <f>MAX(0,ROUND(T168*0.2+U168*0.2+V168*0.15+W168*0.15+X168*0.1+Z168*0.1+AA168*0.1-Y168,3))</f>
        <v/>
      </c>
      <c r="AC168" s="6">
        <f>IFERROR(ROUND(AB168/(S168+0.0001),3),"")</f>
        <v/>
      </c>
      <c r="AD168" s="6">
        <f>IFERROR(ROUND(AB168/(R168/1000),3),"")</f>
        <v/>
      </c>
    </row>
    <row r="169">
      <c r="AB169" s="6">
        <f>MAX(0,ROUND(T169*0.2+U169*0.2+V169*0.15+W169*0.15+X169*0.1+Z169*0.1+AA169*0.1-Y169,3))</f>
        <v/>
      </c>
      <c r="AC169" s="6">
        <f>IFERROR(ROUND(AB169/(S169+0.0001),3),"")</f>
        <v/>
      </c>
      <c r="AD169" s="6">
        <f>IFERROR(ROUND(AB169/(R169/1000),3),"")</f>
        <v/>
      </c>
    </row>
    <row r="170">
      <c r="AB170" s="6">
        <f>MAX(0,ROUND(T170*0.2+U170*0.2+V170*0.15+W170*0.15+X170*0.1+Z170*0.1+AA170*0.1-Y170,3))</f>
        <v/>
      </c>
      <c r="AC170" s="6">
        <f>IFERROR(ROUND(AB170/(S170+0.0001),3),"")</f>
        <v/>
      </c>
      <c r="AD170" s="6">
        <f>IFERROR(ROUND(AB170/(R170/1000),3),"")</f>
        <v/>
      </c>
    </row>
    <row r="171">
      <c r="AB171" s="6">
        <f>MAX(0,ROUND(T171*0.2+U171*0.2+V171*0.15+W171*0.15+X171*0.1+Z171*0.1+AA171*0.1-Y171,3))</f>
        <v/>
      </c>
      <c r="AC171" s="6">
        <f>IFERROR(ROUND(AB171/(S171+0.0001),3),"")</f>
        <v/>
      </c>
      <c r="AD171" s="6">
        <f>IFERROR(ROUND(AB171/(R171/1000),3),"")</f>
        <v/>
      </c>
    </row>
    <row r="172">
      <c r="AB172" s="6">
        <f>MAX(0,ROUND(T172*0.2+U172*0.2+V172*0.15+W172*0.15+X172*0.1+Z172*0.1+AA172*0.1-Y172,3))</f>
        <v/>
      </c>
      <c r="AC172" s="6">
        <f>IFERROR(ROUND(AB172/(S172+0.0001),3),"")</f>
        <v/>
      </c>
      <c r="AD172" s="6">
        <f>IFERROR(ROUND(AB172/(R172/1000),3),"")</f>
        <v/>
      </c>
    </row>
    <row r="173">
      <c r="AB173" s="6">
        <f>MAX(0,ROUND(T173*0.2+U173*0.2+V173*0.15+W173*0.15+X173*0.1+Z173*0.1+AA173*0.1-Y173,3))</f>
        <v/>
      </c>
      <c r="AC173" s="6">
        <f>IFERROR(ROUND(AB173/(S173+0.0001),3),"")</f>
        <v/>
      </c>
      <c r="AD173" s="6">
        <f>IFERROR(ROUND(AB173/(R173/1000),3),"")</f>
        <v/>
      </c>
    </row>
    <row r="174">
      <c r="AB174" s="6">
        <f>MAX(0,ROUND(T174*0.2+U174*0.2+V174*0.15+W174*0.15+X174*0.1+Z174*0.1+AA174*0.1-Y174,3))</f>
        <v/>
      </c>
      <c r="AC174" s="6">
        <f>IFERROR(ROUND(AB174/(S174+0.0001),3),"")</f>
        <v/>
      </c>
      <c r="AD174" s="6">
        <f>IFERROR(ROUND(AB174/(R174/1000),3),"")</f>
        <v/>
      </c>
    </row>
    <row r="175">
      <c r="AB175" s="6">
        <f>MAX(0,ROUND(T175*0.2+U175*0.2+V175*0.15+W175*0.15+X175*0.1+Z175*0.1+AA175*0.1-Y175,3))</f>
        <v/>
      </c>
      <c r="AC175" s="6">
        <f>IFERROR(ROUND(AB175/(S175+0.0001),3),"")</f>
        <v/>
      </c>
      <c r="AD175" s="6">
        <f>IFERROR(ROUND(AB175/(R175/1000),3),"")</f>
        <v/>
      </c>
    </row>
    <row r="176">
      <c r="AB176" s="6">
        <f>MAX(0,ROUND(T176*0.2+U176*0.2+V176*0.15+W176*0.15+X176*0.1+Z176*0.1+AA176*0.1-Y176,3))</f>
        <v/>
      </c>
      <c r="AC176" s="6">
        <f>IFERROR(ROUND(AB176/(S176+0.0001),3),"")</f>
        <v/>
      </c>
      <c r="AD176" s="6">
        <f>IFERROR(ROUND(AB176/(R176/1000),3),"")</f>
        <v/>
      </c>
    </row>
    <row r="177">
      <c r="AB177" s="6">
        <f>MAX(0,ROUND(T177*0.2+U177*0.2+V177*0.15+W177*0.15+X177*0.1+Z177*0.1+AA177*0.1-Y177,3))</f>
        <v/>
      </c>
      <c r="AC177" s="6">
        <f>IFERROR(ROUND(AB177/(S177+0.0001),3),"")</f>
        <v/>
      </c>
      <c r="AD177" s="6">
        <f>IFERROR(ROUND(AB177/(R177/1000),3),"")</f>
        <v/>
      </c>
    </row>
    <row r="178">
      <c r="AB178" s="6">
        <f>MAX(0,ROUND(T178*0.2+U178*0.2+V178*0.15+W178*0.15+X178*0.1+Z178*0.1+AA178*0.1-Y178,3))</f>
        <v/>
      </c>
      <c r="AC178" s="6">
        <f>IFERROR(ROUND(AB178/(S178+0.0001),3),"")</f>
        <v/>
      </c>
      <c r="AD178" s="6">
        <f>IFERROR(ROUND(AB178/(R178/1000),3),"")</f>
        <v/>
      </c>
    </row>
    <row r="179">
      <c r="AB179" s="6">
        <f>MAX(0,ROUND(T179*0.2+U179*0.2+V179*0.15+W179*0.15+X179*0.1+Z179*0.1+AA179*0.1-Y179,3))</f>
        <v/>
      </c>
      <c r="AC179" s="6">
        <f>IFERROR(ROUND(AB179/(S179+0.0001),3),"")</f>
        <v/>
      </c>
      <c r="AD179" s="6">
        <f>IFERROR(ROUND(AB179/(R179/1000),3),"")</f>
        <v/>
      </c>
    </row>
    <row r="180">
      <c r="AB180" s="6">
        <f>MAX(0,ROUND(T180*0.2+U180*0.2+V180*0.15+W180*0.15+X180*0.1+Z180*0.1+AA180*0.1-Y180,3))</f>
        <v/>
      </c>
      <c r="AC180" s="6">
        <f>IFERROR(ROUND(AB180/(S180+0.0001),3),"")</f>
        <v/>
      </c>
      <c r="AD180" s="6">
        <f>IFERROR(ROUND(AB180/(R180/1000),3),"")</f>
        <v/>
      </c>
    </row>
    <row r="181">
      <c r="AB181" s="6">
        <f>MAX(0,ROUND(T181*0.2+U181*0.2+V181*0.15+W181*0.15+X181*0.1+Z181*0.1+AA181*0.1-Y181,3))</f>
        <v/>
      </c>
      <c r="AC181" s="6">
        <f>IFERROR(ROUND(AB181/(S181+0.0001),3),"")</f>
        <v/>
      </c>
      <c r="AD181" s="6">
        <f>IFERROR(ROUND(AB181/(R181/1000),3),"")</f>
        <v/>
      </c>
    </row>
    <row r="182">
      <c r="AB182" s="6">
        <f>MAX(0,ROUND(T182*0.2+U182*0.2+V182*0.15+W182*0.15+X182*0.1+Z182*0.1+AA182*0.1-Y182,3))</f>
        <v/>
      </c>
      <c r="AC182" s="6">
        <f>IFERROR(ROUND(AB182/(S182+0.0001),3),"")</f>
        <v/>
      </c>
      <c r="AD182" s="6">
        <f>IFERROR(ROUND(AB182/(R182/1000),3),"")</f>
        <v/>
      </c>
    </row>
    <row r="183">
      <c r="AB183" s="6">
        <f>MAX(0,ROUND(T183*0.2+U183*0.2+V183*0.15+W183*0.15+X183*0.1+Z183*0.1+AA183*0.1-Y183,3))</f>
        <v/>
      </c>
      <c r="AC183" s="6">
        <f>IFERROR(ROUND(AB183/(S183+0.0001),3),"")</f>
        <v/>
      </c>
      <c r="AD183" s="6">
        <f>IFERROR(ROUND(AB183/(R183/1000),3),"")</f>
        <v/>
      </c>
    </row>
    <row r="184">
      <c r="AB184" s="6">
        <f>MAX(0,ROUND(T184*0.2+U184*0.2+V184*0.15+W184*0.15+X184*0.1+Z184*0.1+AA184*0.1-Y184,3))</f>
        <v/>
      </c>
      <c r="AC184" s="6">
        <f>IFERROR(ROUND(AB184/(S184+0.0001),3),"")</f>
        <v/>
      </c>
      <c r="AD184" s="6">
        <f>IFERROR(ROUND(AB184/(R184/1000),3),"")</f>
        <v/>
      </c>
    </row>
    <row r="185">
      <c r="AB185" s="6">
        <f>MAX(0,ROUND(T185*0.2+U185*0.2+V185*0.15+W185*0.15+X185*0.1+Z185*0.1+AA185*0.1-Y185,3))</f>
        <v/>
      </c>
      <c r="AC185" s="6">
        <f>IFERROR(ROUND(AB185/(S185+0.0001),3),"")</f>
        <v/>
      </c>
      <c r="AD185" s="6">
        <f>IFERROR(ROUND(AB185/(R185/1000),3),"")</f>
        <v/>
      </c>
    </row>
    <row r="186">
      <c r="AB186" s="6">
        <f>MAX(0,ROUND(T186*0.2+U186*0.2+V186*0.15+W186*0.15+X186*0.1+Z186*0.1+AA186*0.1-Y186,3))</f>
        <v/>
      </c>
      <c r="AC186" s="6">
        <f>IFERROR(ROUND(AB186/(S186+0.0001),3),"")</f>
        <v/>
      </c>
      <c r="AD186" s="6">
        <f>IFERROR(ROUND(AB186/(R186/1000),3),"")</f>
        <v/>
      </c>
    </row>
    <row r="187">
      <c r="AB187" s="6">
        <f>MAX(0,ROUND(T187*0.2+U187*0.2+V187*0.15+W187*0.15+X187*0.1+Z187*0.1+AA187*0.1-Y187,3))</f>
        <v/>
      </c>
      <c r="AC187" s="6">
        <f>IFERROR(ROUND(AB187/(S187+0.0001),3),"")</f>
        <v/>
      </c>
      <c r="AD187" s="6">
        <f>IFERROR(ROUND(AB187/(R187/1000),3),"")</f>
        <v/>
      </c>
    </row>
    <row r="188">
      <c r="AB188" s="6">
        <f>MAX(0,ROUND(T188*0.2+U188*0.2+V188*0.15+W188*0.15+X188*0.1+Z188*0.1+AA188*0.1-Y188,3))</f>
        <v/>
      </c>
      <c r="AC188" s="6">
        <f>IFERROR(ROUND(AB188/(S188+0.0001),3),"")</f>
        <v/>
      </c>
      <c r="AD188" s="6">
        <f>IFERROR(ROUND(AB188/(R188/1000),3),"")</f>
        <v/>
      </c>
    </row>
    <row r="189">
      <c r="AB189" s="6">
        <f>MAX(0,ROUND(T189*0.2+U189*0.2+V189*0.15+W189*0.15+X189*0.1+Z189*0.1+AA189*0.1-Y189,3))</f>
        <v/>
      </c>
      <c r="AC189" s="6">
        <f>IFERROR(ROUND(AB189/(S189+0.0001),3),"")</f>
        <v/>
      </c>
      <c r="AD189" s="6">
        <f>IFERROR(ROUND(AB189/(R189/1000),3),"")</f>
        <v/>
      </c>
    </row>
    <row r="190">
      <c r="AB190" s="6">
        <f>MAX(0,ROUND(T190*0.2+U190*0.2+V190*0.15+W190*0.15+X190*0.1+Z190*0.1+AA190*0.1-Y190,3))</f>
        <v/>
      </c>
      <c r="AC190" s="6">
        <f>IFERROR(ROUND(AB190/(S190+0.0001),3),"")</f>
        <v/>
      </c>
      <c r="AD190" s="6">
        <f>IFERROR(ROUND(AB190/(R190/1000),3),"")</f>
        <v/>
      </c>
    </row>
    <row r="191">
      <c r="AB191" s="6">
        <f>MAX(0,ROUND(T191*0.2+U191*0.2+V191*0.15+W191*0.15+X191*0.1+Z191*0.1+AA191*0.1-Y191,3))</f>
        <v/>
      </c>
      <c r="AC191" s="6">
        <f>IFERROR(ROUND(AB191/(S191+0.0001),3),"")</f>
        <v/>
      </c>
      <c r="AD191" s="6">
        <f>IFERROR(ROUND(AB191/(R191/1000),3),"")</f>
        <v/>
      </c>
    </row>
    <row r="192">
      <c r="AB192" s="6">
        <f>MAX(0,ROUND(T192*0.2+U192*0.2+V192*0.15+W192*0.15+X192*0.1+Z192*0.1+AA192*0.1-Y192,3))</f>
        <v/>
      </c>
      <c r="AC192" s="6">
        <f>IFERROR(ROUND(AB192/(S192+0.0001),3),"")</f>
        <v/>
      </c>
      <c r="AD192" s="6">
        <f>IFERROR(ROUND(AB192/(R192/1000),3),"")</f>
        <v/>
      </c>
    </row>
    <row r="193">
      <c r="AB193" s="6">
        <f>MAX(0,ROUND(T193*0.2+U193*0.2+V193*0.15+W193*0.15+X193*0.1+Z193*0.1+AA193*0.1-Y193,3))</f>
        <v/>
      </c>
      <c r="AC193" s="6">
        <f>IFERROR(ROUND(AB193/(S193+0.0001),3),"")</f>
        <v/>
      </c>
      <c r="AD193" s="6">
        <f>IFERROR(ROUND(AB193/(R193/1000),3),"")</f>
        <v/>
      </c>
    </row>
    <row r="194">
      <c r="AB194" s="6">
        <f>MAX(0,ROUND(T194*0.2+U194*0.2+V194*0.15+W194*0.15+X194*0.1+Z194*0.1+AA194*0.1-Y194,3))</f>
        <v/>
      </c>
      <c r="AC194" s="6">
        <f>IFERROR(ROUND(AB194/(S194+0.0001),3),"")</f>
        <v/>
      </c>
      <c r="AD194" s="6">
        <f>IFERROR(ROUND(AB194/(R194/1000),3),"")</f>
        <v/>
      </c>
    </row>
    <row r="195">
      <c r="AB195" s="6">
        <f>MAX(0,ROUND(T195*0.2+U195*0.2+V195*0.15+W195*0.15+X195*0.1+Z195*0.1+AA195*0.1-Y195,3))</f>
        <v/>
      </c>
      <c r="AC195" s="6">
        <f>IFERROR(ROUND(AB195/(S195+0.0001),3),"")</f>
        <v/>
      </c>
      <c r="AD195" s="6">
        <f>IFERROR(ROUND(AB195/(R195/1000),3),"")</f>
        <v/>
      </c>
    </row>
    <row r="196">
      <c r="AB196" s="6">
        <f>MAX(0,ROUND(T196*0.2+U196*0.2+V196*0.15+W196*0.15+X196*0.1+Z196*0.1+AA196*0.1-Y196,3))</f>
        <v/>
      </c>
      <c r="AC196" s="6">
        <f>IFERROR(ROUND(AB196/(S196+0.0001),3),"")</f>
        <v/>
      </c>
      <c r="AD196" s="6">
        <f>IFERROR(ROUND(AB196/(R196/1000),3),"")</f>
        <v/>
      </c>
    </row>
    <row r="197">
      <c r="AB197" s="6">
        <f>MAX(0,ROUND(T197*0.2+U197*0.2+V197*0.15+W197*0.15+X197*0.1+Z197*0.1+AA197*0.1-Y197,3))</f>
        <v/>
      </c>
      <c r="AC197" s="6">
        <f>IFERROR(ROUND(AB197/(S197+0.0001),3),"")</f>
        <v/>
      </c>
      <c r="AD197" s="6">
        <f>IFERROR(ROUND(AB197/(R197/1000),3),"")</f>
        <v/>
      </c>
    </row>
    <row r="198">
      <c r="AB198" s="6">
        <f>MAX(0,ROUND(T198*0.2+U198*0.2+V198*0.15+W198*0.15+X198*0.1+Z198*0.1+AA198*0.1-Y198,3))</f>
        <v/>
      </c>
      <c r="AC198" s="6">
        <f>IFERROR(ROUND(AB198/(S198+0.0001),3),"")</f>
        <v/>
      </c>
      <c r="AD198" s="6">
        <f>IFERROR(ROUND(AB198/(R198/1000),3),"")</f>
        <v/>
      </c>
    </row>
    <row r="199">
      <c r="AB199" s="6">
        <f>MAX(0,ROUND(T199*0.2+U199*0.2+V199*0.15+W199*0.15+X199*0.1+Z199*0.1+AA199*0.1-Y199,3))</f>
        <v/>
      </c>
      <c r="AC199" s="6">
        <f>IFERROR(ROUND(AB199/(S199+0.0001),3),"")</f>
        <v/>
      </c>
      <c r="AD199" s="6">
        <f>IFERROR(ROUND(AB199/(R199/1000),3),"")</f>
        <v/>
      </c>
    </row>
    <row r="200">
      <c r="AB200" s="6">
        <f>MAX(0,ROUND(T200*0.2+U200*0.2+V200*0.15+W200*0.15+X200*0.1+Z200*0.1+AA200*0.1-Y200,3))</f>
        <v/>
      </c>
      <c r="AC200" s="6">
        <f>IFERROR(ROUND(AB200/(S200+0.0001),3),"")</f>
        <v/>
      </c>
      <c r="AD200" s="6">
        <f>IFERROR(ROUND(AB200/(R200/1000),3),"")</f>
        <v/>
      </c>
    </row>
    <row r="201">
      <c r="AB201" s="6">
        <f>MAX(0,ROUND(T201*0.2+U201*0.2+V201*0.15+W201*0.15+X201*0.1+Z201*0.1+AA201*0.1-Y201,3))</f>
        <v/>
      </c>
      <c r="AC201" s="6">
        <f>IFERROR(ROUND(AB201/(S201+0.0001),3),"")</f>
        <v/>
      </c>
      <c r="AD201" s="6">
        <f>IFERROR(ROUND(AB201/(R201/1000),3),"")</f>
        <v/>
      </c>
    </row>
    <row r="202">
      <c r="AB202" s="6">
        <f>MAX(0,ROUND(T202*0.2+U202*0.2+V202*0.15+W202*0.15+X202*0.1+Z202*0.1+AA202*0.1-Y202,3))</f>
        <v/>
      </c>
      <c r="AC202" s="6">
        <f>IFERROR(ROUND(AB202/(S202+0.0001),3),"")</f>
        <v/>
      </c>
      <c r="AD202" s="6">
        <f>IFERROR(ROUND(AB202/(R202/1000),3),"")</f>
        <v/>
      </c>
    </row>
    <row r="203">
      <c r="AB203" s="6">
        <f>MAX(0,ROUND(T203*0.2+U203*0.2+V203*0.15+W203*0.15+X203*0.1+Z203*0.1+AA203*0.1-Y203,3))</f>
        <v/>
      </c>
      <c r="AC203" s="6">
        <f>IFERROR(ROUND(AB203/(S203+0.0001),3),"")</f>
        <v/>
      </c>
      <c r="AD203" s="6">
        <f>IFERROR(ROUND(AB203/(R203/1000),3),"")</f>
        <v/>
      </c>
    </row>
    <row r="204">
      <c r="AB204" s="6">
        <f>MAX(0,ROUND(T204*0.2+U204*0.2+V204*0.15+W204*0.15+X204*0.1+Z204*0.1+AA204*0.1-Y204,3))</f>
        <v/>
      </c>
      <c r="AC204" s="6">
        <f>IFERROR(ROUND(AB204/(S204+0.0001),3),"")</f>
        <v/>
      </c>
      <c r="AD204" s="6">
        <f>IFERROR(ROUND(AB204/(R204/1000),3),"")</f>
        <v/>
      </c>
    </row>
    <row r="205">
      <c r="AB205" s="6">
        <f>MAX(0,ROUND(T205*0.2+U205*0.2+V205*0.15+W205*0.15+X205*0.1+Z205*0.1+AA205*0.1-Y205,3))</f>
        <v/>
      </c>
      <c r="AC205" s="6">
        <f>IFERROR(ROUND(AB205/(S205+0.0001),3),"")</f>
        <v/>
      </c>
      <c r="AD205" s="6">
        <f>IFERROR(ROUND(AB205/(R205/1000),3),"")</f>
        <v/>
      </c>
    </row>
    <row r="206">
      <c r="AB206" s="6">
        <f>MAX(0,ROUND(T206*0.2+U206*0.2+V206*0.15+W206*0.15+X206*0.1+Z206*0.1+AA206*0.1-Y206,3))</f>
        <v/>
      </c>
      <c r="AC206" s="6">
        <f>IFERROR(ROUND(AB206/(S206+0.0001),3),"")</f>
        <v/>
      </c>
      <c r="AD206" s="6">
        <f>IFERROR(ROUND(AB206/(R206/1000),3),"")</f>
        <v/>
      </c>
    </row>
    <row r="207">
      <c r="AB207" s="6">
        <f>MAX(0,ROUND(T207*0.2+U207*0.2+V207*0.15+W207*0.15+X207*0.1+Z207*0.1+AA207*0.1-Y207,3))</f>
        <v/>
      </c>
      <c r="AC207" s="6">
        <f>IFERROR(ROUND(AB207/(S207+0.0001),3),"")</f>
        <v/>
      </c>
      <c r="AD207" s="6">
        <f>IFERROR(ROUND(AB207/(R207/1000),3),"")</f>
        <v/>
      </c>
    </row>
    <row r="208">
      <c r="AB208" s="6">
        <f>MAX(0,ROUND(T208*0.2+U208*0.2+V208*0.15+W208*0.15+X208*0.1+Z208*0.1+AA208*0.1-Y208,3))</f>
        <v/>
      </c>
      <c r="AC208" s="6">
        <f>IFERROR(ROUND(AB208/(S208+0.0001),3),"")</f>
        <v/>
      </c>
      <c r="AD208" s="6">
        <f>IFERROR(ROUND(AB208/(R208/1000),3),"")</f>
        <v/>
      </c>
    </row>
    <row r="209">
      <c r="AB209" s="6">
        <f>MAX(0,ROUND(T209*0.2+U209*0.2+V209*0.15+W209*0.15+X209*0.1+Z209*0.1+AA209*0.1-Y209,3))</f>
        <v/>
      </c>
      <c r="AC209" s="6">
        <f>IFERROR(ROUND(AB209/(S209+0.0001),3),"")</f>
        <v/>
      </c>
      <c r="AD209" s="6">
        <f>IFERROR(ROUND(AB209/(R209/1000),3),"")</f>
        <v/>
      </c>
    </row>
    <row r="210">
      <c r="AB210" s="6">
        <f>MAX(0,ROUND(T210*0.2+U210*0.2+V210*0.15+W210*0.15+X210*0.1+Z210*0.1+AA210*0.1-Y210,3))</f>
        <v/>
      </c>
      <c r="AC210" s="6">
        <f>IFERROR(ROUND(AB210/(S210+0.0001),3),"")</f>
        <v/>
      </c>
      <c r="AD210" s="6">
        <f>IFERROR(ROUND(AB210/(R210/1000),3),"")</f>
        <v/>
      </c>
    </row>
    <row r="211">
      <c r="AB211" s="6">
        <f>MAX(0,ROUND(T211*0.2+U211*0.2+V211*0.15+W211*0.15+X211*0.1+Z211*0.1+AA211*0.1-Y211,3))</f>
        <v/>
      </c>
      <c r="AC211" s="6">
        <f>IFERROR(ROUND(AB211/(S211+0.0001),3),"")</f>
        <v/>
      </c>
      <c r="AD211" s="6">
        <f>IFERROR(ROUND(AB211/(R211/1000),3),"")</f>
        <v/>
      </c>
    </row>
    <row r="212">
      <c r="AB212" s="6">
        <f>MAX(0,ROUND(T212*0.2+U212*0.2+V212*0.15+W212*0.15+X212*0.1+Z212*0.1+AA212*0.1-Y212,3))</f>
        <v/>
      </c>
      <c r="AC212" s="6">
        <f>IFERROR(ROUND(AB212/(S212+0.0001),3),"")</f>
        <v/>
      </c>
      <c r="AD212" s="6">
        <f>IFERROR(ROUND(AB212/(R212/1000),3),"")</f>
        <v/>
      </c>
    </row>
    <row r="213">
      <c r="AB213" s="6">
        <f>MAX(0,ROUND(T213*0.2+U213*0.2+V213*0.15+W213*0.15+X213*0.1+Z213*0.1+AA213*0.1-Y213,3))</f>
        <v/>
      </c>
      <c r="AC213" s="6">
        <f>IFERROR(ROUND(AB213/(S213+0.0001),3),"")</f>
        <v/>
      </c>
      <c r="AD213" s="6">
        <f>IFERROR(ROUND(AB213/(R213/1000),3),"")</f>
        <v/>
      </c>
    </row>
    <row r="214">
      <c r="AB214" s="6">
        <f>MAX(0,ROUND(T214*0.2+U214*0.2+V214*0.15+W214*0.15+X214*0.1+Z214*0.1+AA214*0.1-Y214,3))</f>
        <v/>
      </c>
      <c r="AC214" s="6">
        <f>IFERROR(ROUND(AB214/(S214+0.0001),3),"")</f>
        <v/>
      </c>
      <c r="AD214" s="6">
        <f>IFERROR(ROUND(AB214/(R214/1000),3),"")</f>
        <v/>
      </c>
    </row>
    <row r="215">
      <c r="AB215" s="6">
        <f>MAX(0,ROUND(T215*0.2+U215*0.2+V215*0.15+W215*0.15+X215*0.1+Z215*0.1+AA215*0.1-Y215,3))</f>
        <v/>
      </c>
      <c r="AC215" s="6">
        <f>IFERROR(ROUND(AB215/(S215+0.0001),3),"")</f>
        <v/>
      </c>
      <c r="AD215" s="6">
        <f>IFERROR(ROUND(AB215/(R215/1000),3),"")</f>
        <v/>
      </c>
    </row>
    <row r="216">
      <c r="AB216" s="6">
        <f>MAX(0,ROUND(T216*0.2+U216*0.2+V216*0.15+W216*0.15+X216*0.1+Z216*0.1+AA216*0.1-Y216,3))</f>
        <v/>
      </c>
      <c r="AC216" s="6">
        <f>IFERROR(ROUND(AB216/(S216+0.0001),3),"")</f>
        <v/>
      </c>
      <c r="AD216" s="6">
        <f>IFERROR(ROUND(AB216/(R216/1000),3),"")</f>
        <v/>
      </c>
    </row>
    <row r="217">
      <c r="AB217" s="6">
        <f>MAX(0,ROUND(T217*0.2+U217*0.2+V217*0.15+W217*0.15+X217*0.1+Z217*0.1+AA217*0.1-Y217,3))</f>
        <v/>
      </c>
      <c r="AC217" s="6">
        <f>IFERROR(ROUND(AB217/(S217+0.0001),3),"")</f>
        <v/>
      </c>
      <c r="AD217" s="6">
        <f>IFERROR(ROUND(AB217/(R217/1000),3),"")</f>
        <v/>
      </c>
    </row>
    <row r="218">
      <c r="AB218" s="6">
        <f>MAX(0,ROUND(T218*0.2+U218*0.2+V218*0.15+W218*0.15+X218*0.1+Z218*0.1+AA218*0.1-Y218,3))</f>
        <v/>
      </c>
      <c r="AC218" s="6">
        <f>IFERROR(ROUND(AB218/(S218+0.0001),3),"")</f>
        <v/>
      </c>
      <c r="AD218" s="6">
        <f>IFERROR(ROUND(AB218/(R218/1000),3),"")</f>
        <v/>
      </c>
    </row>
    <row r="219">
      <c r="AB219" s="6">
        <f>MAX(0,ROUND(T219*0.2+U219*0.2+V219*0.15+W219*0.15+X219*0.1+Z219*0.1+AA219*0.1-Y219,3))</f>
        <v/>
      </c>
      <c r="AC219" s="6">
        <f>IFERROR(ROUND(AB219/(S219+0.0001),3),"")</f>
        <v/>
      </c>
      <c r="AD219" s="6">
        <f>IFERROR(ROUND(AB219/(R219/1000),3),"")</f>
        <v/>
      </c>
    </row>
    <row r="220">
      <c r="AB220" s="6">
        <f>MAX(0,ROUND(T220*0.2+U220*0.2+V220*0.15+W220*0.15+X220*0.1+Z220*0.1+AA220*0.1-Y220,3))</f>
        <v/>
      </c>
      <c r="AC220" s="6">
        <f>IFERROR(ROUND(AB220/(S220+0.0001),3),"")</f>
        <v/>
      </c>
      <c r="AD220" s="6">
        <f>IFERROR(ROUND(AB220/(R220/1000),3),"")</f>
        <v/>
      </c>
    </row>
    <row r="221">
      <c r="AB221" s="6">
        <f>MAX(0,ROUND(T221*0.2+U221*0.2+V221*0.15+W221*0.15+X221*0.1+Z221*0.1+AA221*0.1-Y221,3))</f>
        <v/>
      </c>
      <c r="AC221" s="6">
        <f>IFERROR(ROUND(AB221/(S221+0.0001),3),"")</f>
        <v/>
      </c>
      <c r="AD221" s="6">
        <f>IFERROR(ROUND(AB221/(R221/1000),3),"")</f>
        <v/>
      </c>
    </row>
    <row r="222">
      <c r="AB222" s="6">
        <f>MAX(0,ROUND(T222*0.2+U222*0.2+V222*0.15+W222*0.15+X222*0.1+Z222*0.1+AA222*0.1-Y222,3))</f>
        <v/>
      </c>
      <c r="AC222" s="6">
        <f>IFERROR(ROUND(AB222/(S222+0.0001),3),"")</f>
        <v/>
      </c>
      <c r="AD222" s="6">
        <f>IFERROR(ROUND(AB222/(R222/1000),3),"")</f>
        <v/>
      </c>
    </row>
    <row r="223">
      <c r="AB223" s="6">
        <f>MAX(0,ROUND(T223*0.2+U223*0.2+V223*0.15+W223*0.15+X223*0.1+Z223*0.1+AA223*0.1-Y223,3))</f>
        <v/>
      </c>
      <c r="AC223" s="6">
        <f>IFERROR(ROUND(AB223/(S223+0.0001),3),"")</f>
        <v/>
      </c>
      <c r="AD223" s="6">
        <f>IFERROR(ROUND(AB223/(R223/1000),3),"")</f>
        <v/>
      </c>
    </row>
    <row r="224">
      <c r="AB224" s="6">
        <f>MAX(0,ROUND(T224*0.2+U224*0.2+V224*0.15+W224*0.15+X224*0.1+Z224*0.1+AA224*0.1-Y224,3))</f>
        <v/>
      </c>
      <c r="AC224" s="6">
        <f>IFERROR(ROUND(AB224/(S224+0.0001),3),"")</f>
        <v/>
      </c>
      <c r="AD224" s="6">
        <f>IFERROR(ROUND(AB224/(R224/1000),3),"")</f>
        <v/>
      </c>
    </row>
    <row r="225">
      <c r="AB225" s="6">
        <f>MAX(0,ROUND(T225*0.2+U225*0.2+V225*0.15+W225*0.15+X225*0.1+Z225*0.1+AA225*0.1-Y225,3))</f>
        <v/>
      </c>
      <c r="AC225" s="6">
        <f>IFERROR(ROUND(AB225/(S225+0.0001),3),"")</f>
        <v/>
      </c>
      <c r="AD225" s="6">
        <f>IFERROR(ROUND(AB225/(R225/1000),3),"")</f>
        <v/>
      </c>
    </row>
    <row r="226">
      <c r="AB226" s="6">
        <f>MAX(0,ROUND(T226*0.2+U226*0.2+V226*0.15+W226*0.15+X226*0.1+Z226*0.1+AA226*0.1-Y226,3))</f>
        <v/>
      </c>
      <c r="AC226" s="6">
        <f>IFERROR(ROUND(AB226/(S226+0.0001),3),"")</f>
        <v/>
      </c>
      <c r="AD226" s="6">
        <f>IFERROR(ROUND(AB226/(R226/1000),3),"")</f>
        <v/>
      </c>
    </row>
    <row r="227">
      <c r="AB227" s="6">
        <f>MAX(0,ROUND(T227*0.2+U227*0.2+V227*0.15+W227*0.15+X227*0.1+Z227*0.1+AA227*0.1-Y227,3))</f>
        <v/>
      </c>
      <c r="AC227" s="6">
        <f>IFERROR(ROUND(AB227/(S227+0.0001),3),"")</f>
        <v/>
      </c>
      <c r="AD227" s="6">
        <f>IFERROR(ROUND(AB227/(R227/1000),3),"")</f>
        <v/>
      </c>
    </row>
    <row r="228">
      <c r="AB228" s="6">
        <f>MAX(0,ROUND(T228*0.2+U228*0.2+V228*0.15+W228*0.15+X228*0.1+Z228*0.1+AA228*0.1-Y228,3))</f>
        <v/>
      </c>
      <c r="AC228" s="6">
        <f>IFERROR(ROUND(AB228/(S228+0.0001),3),"")</f>
        <v/>
      </c>
      <c r="AD228" s="6">
        <f>IFERROR(ROUND(AB228/(R228/1000),3),"")</f>
        <v/>
      </c>
    </row>
    <row r="229">
      <c r="AB229" s="6">
        <f>MAX(0,ROUND(T229*0.2+U229*0.2+V229*0.15+W229*0.15+X229*0.1+Z229*0.1+AA229*0.1-Y229,3))</f>
        <v/>
      </c>
      <c r="AC229" s="6">
        <f>IFERROR(ROUND(AB229/(S229+0.0001),3),"")</f>
        <v/>
      </c>
      <c r="AD229" s="6">
        <f>IFERROR(ROUND(AB229/(R229/1000),3),"")</f>
        <v/>
      </c>
    </row>
    <row r="230">
      <c r="AB230" s="6">
        <f>MAX(0,ROUND(T230*0.2+U230*0.2+V230*0.15+W230*0.15+X230*0.1+Z230*0.1+AA230*0.1-Y230,3))</f>
        <v/>
      </c>
      <c r="AC230" s="6">
        <f>IFERROR(ROUND(AB230/(S230+0.0001),3),"")</f>
        <v/>
      </c>
      <c r="AD230" s="6">
        <f>IFERROR(ROUND(AB230/(R230/1000),3),"")</f>
        <v/>
      </c>
    </row>
    <row r="231">
      <c r="AB231" s="6">
        <f>MAX(0,ROUND(T231*0.2+U231*0.2+V231*0.15+W231*0.15+X231*0.1+Z231*0.1+AA231*0.1-Y231,3))</f>
        <v/>
      </c>
      <c r="AC231" s="6">
        <f>IFERROR(ROUND(AB231/(S231+0.0001),3),"")</f>
        <v/>
      </c>
      <c r="AD231" s="6">
        <f>IFERROR(ROUND(AB231/(R231/1000),3),"")</f>
        <v/>
      </c>
    </row>
    <row r="232">
      <c r="AB232" s="6">
        <f>MAX(0,ROUND(T232*0.2+U232*0.2+V232*0.15+W232*0.15+X232*0.1+Z232*0.1+AA232*0.1-Y232,3))</f>
        <v/>
      </c>
      <c r="AC232" s="6">
        <f>IFERROR(ROUND(AB232/(S232+0.0001),3),"")</f>
        <v/>
      </c>
      <c r="AD232" s="6">
        <f>IFERROR(ROUND(AB232/(R232/1000),3),"")</f>
        <v/>
      </c>
    </row>
    <row r="233">
      <c r="AB233" s="6">
        <f>MAX(0,ROUND(T233*0.2+U233*0.2+V233*0.15+W233*0.15+X233*0.1+Z233*0.1+AA233*0.1-Y233,3))</f>
        <v/>
      </c>
      <c r="AC233" s="6">
        <f>IFERROR(ROUND(AB233/(S233+0.0001),3),"")</f>
        <v/>
      </c>
      <c r="AD233" s="6">
        <f>IFERROR(ROUND(AB233/(R233/1000),3),"")</f>
        <v/>
      </c>
    </row>
    <row r="234">
      <c r="AB234" s="6">
        <f>MAX(0,ROUND(T234*0.2+U234*0.2+V234*0.15+W234*0.15+X234*0.1+Z234*0.1+AA234*0.1-Y234,3))</f>
        <v/>
      </c>
      <c r="AC234" s="6">
        <f>IFERROR(ROUND(AB234/(S234+0.0001),3),"")</f>
        <v/>
      </c>
      <c r="AD234" s="6">
        <f>IFERROR(ROUND(AB234/(R234/1000),3),"")</f>
        <v/>
      </c>
    </row>
    <row r="235">
      <c r="AB235" s="6">
        <f>MAX(0,ROUND(T235*0.2+U235*0.2+V235*0.15+W235*0.15+X235*0.1+Z235*0.1+AA235*0.1-Y235,3))</f>
        <v/>
      </c>
      <c r="AC235" s="6">
        <f>IFERROR(ROUND(AB235/(S235+0.0001),3),"")</f>
        <v/>
      </c>
      <c r="AD235" s="6">
        <f>IFERROR(ROUND(AB235/(R235/1000),3),"")</f>
        <v/>
      </c>
    </row>
    <row r="236">
      <c r="AB236" s="6">
        <f>MAX(0,ROUND(T236*0.2+U236*0.2+V236*0.15+W236*0.15+X236*0.1+Z236*0.1+AA236*0.1-Y236,3))</f>
        <v/>
      </c>
      <c r="AC236" s="6">
        <f>IFERROR(ROUND(AB236/(S236+0.0001),3),"")</f>
        <v/>
      </c>
      <c r="AD236" s="6">
        <f>IFERROR(ROUND(AB236/(R236/1000),3),"")</f>
        <v/>
      </c>
    </row>
    <row r="237">
      <c r="AB237" s="6">
        <f>MAX(0,ROUND(T237*0.2+U237*0.2+V237*0.15+W237*0.15+X237*0.1+Z237*0.1+AA237*0.1-Y237,3))</f>
        <v/>
      </c>
      <c r="AC237" s="6">
        <f>IFERROR(ROUND(AB237/(S237+0.0001),3),"")</f>
        <v/>
      </c>
      <c r="AD237" s="6">
        <f>IFERROR(ROUND(AB237/(R237/1000),3),"")</f>
        <v/>
      </c>
    </row>
    <row r="238">
      <c r="AB238" s="6">
        <f>MAX(0,ROUND(T238*0.2+U238*0.2+V238*0.15+W238*0.15+X238*0.1+Z238*0.1+AA238*0.1-Y238,3))</f>
        <v/>
      </c>
      <c r="AC238" s="6">
        <f>IFERROR(ROUND(AB238/(S238+0.0001),3),"")</f>
        <v/>
      </c>
      <c r="AD238" s="6">
        <f>IFERROR(ROUND(AB238/(R238/1000),3),"")</f>
        <v/>
      </c>
    </row>
    <row r="239">
      <c r="AB239" s="6">
        <f>MAX(0,ROUND(T239*0.2+U239*0.2+V239*0.15+W239*0.15+X239*0.1+Z239*0.1+AA239*0.1-Y239,3))</f>
        <v/>
      </c>
      <c r="AC239" s="6">
        <f>IFERROR(ROUND(AB239/(S239+0.0001),3),"")</f>
        <v/>
      </c>
      <c r="AD239" s="6">
        <f>IFERROR(ROUND(AB239/(R239/1000),3),"")</f>
        <v/>
      </c>
    </row>
    <row r="240">
      <c r="AB240" s="6">
        <f>MAX(0,ROUND(T240*0.2+U240*0.2+V240*0.15+W240*0.15+X240*0.1+Z240*0.1+AA240*0.1-Y240,3))</f>
        <v/>
      </c>
      <c r="AC240" s="6">
        <f>IFERROR(ROUND(AB240/(S240+0.0001),3),"")</f>
        <v/>
      </c>
      <c r="AD240" s="6">
        <f>IFERROR(ROUND(AB240/(R240/1000),3),"")</f>
        <v/>
      </c>
    </row>
    <row r="241">
      <c r="AB241" s="6">
        <f>MAX(0,ROUND(T241*0.2+U241*0.2+V241*0.15+W241*0.15+X241*0.1+Z241*0.1+AA241*0.1-Y241,3))</f>
        <v/>
      </c>
      <c r="AC241" s="6">
        <f>IFERROR(ROUND(AB241/(S241+0.0001),3),"")</f>
        <v/>
      </c>
      <c r="AD241" s="6">
        <f>IFERROR(ROUND(AB241/(R241/1000),3),"")</f>
        <v/>
      </c>
    </row>
    <row r="242">
      <c r="AB242" s="6">
        <f>MAX(0,ROUND(T242*0.2+U242*0.2+V242*0.15+W242*0.15+X242*0.1+Z242*0.1+AA242*0.1-Y242,3))</f>
        <v/>
      </c>
      <c r="AC242" s="6">
        <f>IFERROR(ROUND(AB242/(S242+0.0001),3),"")</f>
        <v/>
      </c>
      <c r="AD242" s="6">
        <f>IFERROR(ROUND(AB242/(R242/1000),3),"")</f>
        <v/>
      </c>
    </row>
    <row r="243">
      <c r="AB243" s="6">
        <f>MAX(0,ROUND(T243*0.2+U243*0.2+V243*0.15+W243*0.15+X243*0.1+Z243*0.1+AA243*0.1-Y243,3))</f>
        <v/>
      </c>
      <c r="AC243" s="6">
        <f>IFERROR(ROUND(AB243/(S243+0.0001),3),"")</f>
        <v/>
      </c>
      <c r="AD243" s="6">
        <f>IFERROR(ROUND(AB243/(R243/1000),3),"")</f>
        <v/>
      </c>
    </row>
    <row r="244">
      <c r="AB244" s="6">
        <f>MAX(0,ROUND(T244*0.2+U244*0.2+V244*0.15+W244*0.15+X244*0.1+Z244*0.1+AA244*0.1-Y244,3))</f>
        <v/>
      </c>
      <c r="AC244" s="6">
        <f>IFERROR(ROUND(AB244/(S244+0.0001),3),"")</f>
        <v/>
      </c>
      <c r="AD244" s="6">
        <f>IFERROR(ROUND(AB244/(R244/1000),3),"")</f>
        <v/>
      </c>
    </row>
    <row r="245">
      <c r="AB245" s="6">
        <f>MAX(0,ROUND(T245*0.2+U245*0.2+V245*0.15+W245*0.15+X245*0.1+Z245*0.1+AA245*0.1-Y245,3))</f>
        <v/>
      </c>
      <c r="AC245" s="6">
        <f>IFERROR(ROUND(AB245/(S245+0.0001),3),"")</f>
        <v/>
      </c>
      <c r="AD245" s="6">
        <f>IFERROR(ROUND(AB245/(R245/1000),3),"")</f>
        <v/>
      </c>
    </row>
    <row r="246">
      <c r="AB246" s="6">
        <f>MAX(0,ROUND(T246*0.2+U246*0.2+V246*0.15+W246*0.15+X246*0.1+Z246*0.1+AA246*0.1-Y246,3))</f>
        <v/>
      </c>
      <c r="AC246" s="6">
        <f>IFERROR(ROUND(AB246/(S246+0.0001),3),"")</f>
        <v/>
      </c>
      <c r="AD246" s="6">
        <f>IFERROR(ROUND(AB246/(R246/1000),3),"")</f>
        <v/>
      </c>
    </row>
    <row r="247">
      <c r="AB247" s="6">
        <f>MAX(0,ROUND(T247*0.2+U247*0.2+V247*0.15+W247*0.15+X247*0.1+Z247*0.1+AA247*0.1-Y247,3))</f>
        <v/>
      </c>
      <c r="AC247" s="6">
        <f>IFERROR(ROUND(AB247/(S247+0.0001),3),"")</f>
        <v/>
      </c>
      <c r="AD247" s="6">
        <f>IFERROR(ROUND(AB247/(R247/1000),3),"")</f>
        <v/>
      </c>
    </row>
    <row r="248">
      <c r="AB248" s="6">
        <f>MAX(0,ROUND(T248*0.2+U248*0.2+V248*0.15+W248*0.15+X248*0.1+Z248*0.1+AA248*0.1-Y248,3))</f>
        <v/>
      </c>
      <c r="AC248" s="6">
        <f>IFERROR(ROUND(AB248/(S248+0.0001),3),"")</f>
        <v/>
      </c>
      <c r="AD248" s="6">
        <f>IFERROR(ROUND(AB248/(R248/1000),3),"")</f>
        <v/>
      </c>
    </row>
    <row r="249">
      <c r="AB249" s="6">
        <f>MAX(0,ROUND(T249*0.2+U249*0.2+V249*0.15+W249*0.15+X249*0.1+Z249*0.1+AA249*0.1-Y249,3))</f>
        <v/>
      </c>
      <c r="AC249" s="6">
        <f>IFERROR(ROUND(AB249/(S249+0.0001),3),"")</f>
        <v/>
      </c>
      <c r="AD249" s="6">
        <f>IFERROR(ROUND(AB249/(R249/1000),3),"")</f>
        <v/>
      </c>
    </row>
    <row r="250">
      <c r="AB250" s="6">
        <f>MAX(0,ROUND(T250*0.2+U250*0.2+V250*0.15+W250*0.15+X250*0.1+Z250*0.1+AA250*0.1-Y250,3))</f>
        <v/>
      </c>
      <c r="AC250" s="6">
        <f>IFERROR(ROUND(AB250/(S250+0.0001),3),"")</f>
        <v/>
      </c>
      <c r="AD250" s="6">
        <f>IFERROR(ROUND(AB250/(R250/1000),3),"")</f>
        <v/>
      </c>
    </row>
    <row r="251">
      <c r="AB251" s="6">
        <f>MAX(0,ROUND(T251*0.2+U251*0.2+V251*0.15+W251*0.15+X251*0.1+Z251*0.1+AA251*0.1-Y251,3))</f>
        <v/>
      </c>
      <c r="AC251" s="6">
        <f>IFERROR(ROUND(AB251/(S251+0.0001),3),"")</f>
        <v/>
      </c>
      <c r="AD251" s="6">
        <f>IFERROR(ROUND(AB251/(R251/1000),3),"")</f>
        <v/>
      </c>
    </row>
    <row r="252">
      <c r="AB252" s="6">
        <f>MAX(0,ROUND(T252*0.2+U252*0.2+V252*0.15+W252*0.15+X252*0.1+Z252*0.1+AA252*0.1-Y252,3))</f>
        <v/>
      </c>
      <c r="AC252" s="6">
        <f>IFERROR(ROUND(AB252/(S252+0.0001),3),"")</f>
        <v/>
      </c>
      <c r="AD252" s="6">
        <f>IFERROR(ROUND(AB252/(R252/1000),3),"")</f>
        <v/>
      </c>
    </row>
    <row r="253">
      <c r="AB253" s="6">
        <f>MAX(0,ROUND(T253*0.2+U253*0.2+V253*0.15+W253*0.15+X253*0.1+Z253*0.1+AA253*0.1-Y253,3))</f>
        <v/>
      </c>
      <c r="AC253" s="6">
        <f>IFERROR(ROUND(AB253/(S253+0.0001),3),"")</f>
        <v/>
      </c>
      <c r="AD253" s="6">
        <f>IFERROR(ROUND(AB253/(R253/1000),3),"")</f>
        <v/>
      </c>
    </row>
    <row r="254">
      <c r="AB254" s="6">
        <f>MAX(0,ROUND(T254*0.2+U254*0.2+V254*0.15+W254*0.15+X254*0.1+Z254*0.1+AA254*0.1-Y254,3))</f>
        <v/>
      </c>
      <c r="AC254" s="6">
        <f>IFERROR(ROUND(AB254/(S254+0.0001),3),"")</f>
        <v/>
      </c>
      <c r="AD254" s="6">
        <f>IFERROR(ROUND(AB254/(R254/1000),3),"")</f>
        <v/>
      </c>
    </row>
    <row r="255">
      <c r="AB255" s="6">
        <f>MAX(0,ROUND(T255*0.2+U255*0.2+V255*0.15+W255*0.15+X255*0.1+Z255*0.1+AA255*0.1-Y255,3))</f>
        <v/>
      </c>
      <c r="AC255" s="6">
        <f>IFERROR(ROUND(AB255/(S255+0.0001),3),"")</f>
        <v/>
      </c>
      <c r="AD255" s="6">
        <f>IFERROR(ROUND(AB255/(R255/1000),3),"")</f>
        <v/>
      </c>
    </row>
    <row r="256">
      <c r="AB256" s="6">
        <f>MAX(0,ROUND(T256*0.2+U256*0.2+V256*0.15+W256*0.15+X256*0.1+Z256*0.1+AA256*0.1-Y256,3))</f>
        <v/>
      </c>
      <c r="AC256" s="6">
        <f>IFERROR(ROUND(AB256/(S256+0.0001),3),"")</f>
        <v/>
      </c>
      <c r="AD256" s="6">
        <f>IFERROR(ROUND(AB256/(R256/1000),3),"")</f>
        <v/>
      </c>
    </row>
    <row r="257">
      <c r="AB257" s="6">
        <f>MAX(0,ROUND(T257*0.2+U257*0.2+V257*0.15+W257*0.15+X257*0.1+Z257*0.1+AA257*0.1-Y257,3))</f>
        <v/>
      </c>
      <c r="AC257" s="6">
        <f>IFERROR(ROUND(AB257/(S257+0.0001),3),"")</f>
        <v/>
      </c>
      <c r="AD257" s="6">
        <f>IFERROR(ROUND(AB257/(R257/1000),3),"")</f>
        <v/>
      </c>
    </row>
    <row r="258">
      <c r="AB258" s="6">
        <f>MAX(0,ROUND(T258*0.2+U258*0.2+V258*0.15+W258*0.15+X258*0.1+Z258*0.1+AA258*0.1-Y258,3))</f>
        <v/>
      </c>
      <c r="AC258" s="6">
        <f>IFERROR(ROUND(AB258/(S258+0.0001),3),"")</f>
        <v/>
      </c>
      <c r="AD258" s="6">
        <f>IFERROR(ROUND(AB258/(R258/1000),3),"")</f>
        <v/>
      </c>
    </row>
    <row r="259">
      <c r="AB259" s="6">
        <f>MAX(0,ROUND(T259*0.2+U259*0.2+V259*0.15+W259*0.15+X259*0.1+Z259*0.1+AA259*0.1-Y259,3))</f>
        <v/>
      </c>
      <c r="AC259" s="6">
        <f>IFERROR(ROUND(AB259/(S259+0.0001),3),"")</f>
        <v/>
      </c>
      <c r="AD259" s="6">
        <f>IFERROR(ROUND(AB259/(R259/1000),3),"")</f>
        <v/>
      </c>
    </row>
    <row r="260">
      <c r="AB260" s="6">
        <f>MAX(0,ROUND(T260*0.2+U260*0.2+V260*0.15+W260*0.15+X260*0.1+Z260*0.1+AA260*0.1-Y260,3))</f>
        <v/>
      </c>
      <c r="AC260" s="6">
        <f>IFERROR(ROUND(AB260/(S260+0.0001),3),"")</f>
        <v/>
      </c>
      <c r="AD260" s="6">
        <f>IFERROR(ROUND(AB260/(R260/1000),3),"")</f>
        <v/>
      </c>
    </row>
    <row r="261">
      <c r="AB261" s="6">
        <f>MAX(0,ROUND(T261*0.2+U261*0.2+V261*0.15+W261*0.15+X261*0.1+Z261*0.1+AA261*0.1-Y261,3))</f>
        <v/>
      </c>
      <c r="AC261" s="6">
        <f>IFERROR(ROUND(AB261/(S261+0.0001),3),"")</f>
        <v/>
      </c>
      <c r="AD261" s="6">
        <f>IFERROR(ROUND(AB261/(R261/1000),3),"")</f>
        <v/>
      </c>
    </row>
    <row r="262">
      <c r="AB262" s="6">
        <f>MAX(0,ROUND(T262*0.2+U262*0.2+V262*0.15+W262*0.15+X262*0.1+Z262*0.1+AA262*0.1-Y262,3))</f>
        <v/>
      </c>
      <c r="AC262" s="6">
        <f>IFERROR(ROUND(AB262/(S262+0.0001),3),"")</f>
        <v/>
      </c>
      <c r="AD262" s="6">
        <f>IFERROR(ROUND(AB262/(R262/1000),3),"")</f>
        <v/>
      </c>
    </row>
    <row r="263">
      <c r="AB263" s="6">
        <f>MAX(0,ROUND(T263*0.2+U263*0.2+V263*0.15+W263*0.15+X263*0.1+Z263*0.1+AA263*0.1-Y263,3))</f>
        <v/>
      </c>
      <c r="AC263" s="6">
        <f>IFERROR(ROUND(AB263/(S263+0.0001),3),"")</f>
        <v/>
      </c>
      <c r="AD263" s="6">
        <f>IFERROR(ROUND(AB263/(R263/1000),3),"")</f>
        <v/>
      </c>
    </row>
    <row r="264">
      <c r="AB264" s="6">
        <f>MAX(0,ROUND(T264*0.2+U264*0.2+V264*0.15+W264*0.15+X264*0.1+Z264*0.1+AA264*0.1-Y264,3))</f>
        <v/>
      </c>
      <c r="AC264" s="6">
        <f>IFERROR(ROUND(AB264/(S264+0.0001),3),"")</f>
        <v/>
      </c>
      <c r="AD264" s="6">
        <f>IFERROR(ROUND(AB264/(R264/1000),3),"")</f>
        <v/>
      </c>
    </row>
    <row r="265">
      <c r="AB265" s="6">
        <f>MAX(0,ROUND(T265*0.2+U265*0.2+V265*0.15+W265*0.15+X265*0.1+Z265*0.1+AA265*0.1-Y265,3))</f>
        <v/>
      </c>
      <c r="AC265" s="6">
        <f>IFERROR(ROUND(AB265/(S265+0.0001),3),"")</f>
        <v/>
      </c>
      <c r="AD265" s="6">
        <f>IFERROR(ROUND(AB265/(R265/1000),3),"")</f>
        <v/>
      </c>
    </row>
    <row r="266">
      <c r="AB266" s="6">
        <f>MAX(0,ROUND(T266*0.2+U266*0.2+V266*0.15+W266*0.15+X266*0.1+Z266*0.1+AA266*0.1-Y266,3))</f>
        <v/>
      </c>
      <c r="AC266" s="6">
        <f>IFERROR(ROUND(AB266/(S266+0.0001),3),"")</f>
        <v/>
      </c>
      <c r="AD266" s="6">
        <f>IFERROR(ROUND(AB266/(R266/1000),3),"")</f>
        <v/>
      </c>
    </row>
    <row r="267">
      <c r="AB267" s="6">
        <f>MAX(0,ROUND(T267*0.2+U267*0.2+V267*0.15+W267*0.15+X267*0.1+Z267*0.1+AA267*0.1-Y267,3))</f>
        <v/>
      </c>
      <c r="AC267" s="6">
        <f>IFERROR(ROUND(AB267/(S267+0.0001),3),"")</f>
        <v/>
      </c>
      <c r="AD267" s="6">
        <f>IFERROR(ROUND(AB267/(R267/1000),3),"")</f>
        <v/>
      </c>
    </row>
    <row r="268">
      <c r="AB268" s="6">
        <f>MAX(0,ROUND(T268*0.2+U268*0.2+V268*0.15+W268*0.15+X268*0.1+Z268*0.1+AA268*0.1-Y268,3))</f>
        <v/>
      </c>
      <c r="AC268" s="6">
        <f>IFERROR(ROUND(AB268/(S268+0.0001),3),"")</f>
        <v/>
      </c>
      <c r="AD268" s="6">
        <f>IFERROR(ROUND(AB268/(R268/1000),3),"")</f>
        <v/>
      </c>
    </row>
    <row r="269">
      <c r="AB269" s="6">
        <f>MAX(0,ROUND(T269*0.2+U269*0.2+V269*0.15+W269*0.15+X269*0.1+Z269*0.1+AA269*0.1-Y269,3))</f>
        <v/>
      </c>
      <c r="AC269" s="6">
        <f>IFERROR(ROUND(AB269/(S269+0.0001),3),"")</f>
        <v/>
      </c>
      <c r="AD269" s="6">
        <f>IFERROR(ROUND(AB269/(R269/1000),3),"")</f>
        <v/>
      </c>
    </row>
    <row r="270">
      <c r="AB270" s="6">
        <f>MAX(0,ROUND(T270*0.2+U270*0.2+V270*0.15+W270*0.15+X270*0.1+Z270*0.1+AA270*0.1-Y270,3))</f>
        <v/>
      </c>
      <c r="AC270" s="6">
        <f>IFERROR(ROUND(AB270/(S270+0.0001),3),"")</f>
        <v/>
      </c>
      <c r="AD270" s="6">
        <f>IFERROR(ROUND(AB270/(R270/1000),3),"")</f>
        <v/>
      </c>
    </row>
    <row r="271">
      <c r="AB271" s="6">
        <f>MAX(0,ROUND(T271*0.2+U271*0.2+V271*0.15+W271*0.15+X271*0.1+Z271*0.1+AA271*0.1-Y271,3))</f>
        <v/>
      </c>
      <c r="AC271" s="6">
        <f>IFERROR(ROUND(AB271/(S271+0.0001),3),"")</f>
        <v/>
      </c>
      <c r="AD271" s="6">
        <f>IFERROR(ROUND(AB271/(R271/1000),3),"")</f>
        <v/>
      </c>
    </row>
    <row r="272">
      <c r="AB272" s="6">
        <f>MAX(0,ROUND(T272*0.2+U272*0.2+V272*0.15+W272*0.15+X272*0.1+Z272*0.1+AA272*0.1-Y272,3))</f>
        <v/>
      </c>
      <c r="AC272" s="6">
        <f>IFERROR(ROUND(AB272/(S272+0.0001),3),"")</f>
        <v/>
      </c>
      <c r="AD272" s="6">
        <f>IFERROR(ROUND(AB272/(R272/1000),3),"")</f>
        <v/>
      </c>
    </row>
    <row r="273">
      <c r="AB273" s="6">
        <f>MAX(0,ROUND(T273*0.2+U273*0.2+V273*0.15+W273*0.15+X273*0.1+Z273*0.1+AA273*0.1-Y273,3))</f>
        <v/>
      </c>
      <c r="AC273" s="6">
        <f>IFERROR(ROUND(AB273/(S273+0.0001),3),"")</f>
        <v/>
      </c>
      <c r="AD273" s="6">
        <f>IFERROR(ROUND(AB273/(R273/1000),3),"")</f>
        <v/>
      </c>
    </row>
    <row r="274">
      <c r="AB274" s="6">
        <f>MAX(0,ROUND(T274*0.2+U274*0.2+V274*0.15+W274*0.15+X274*0.1+Z274*0.1+AA274*0.1-Y274,3))</f>
        <v/>
      </c>
      <c r="AC274" s="6">
        <f>IFERROR(ROUND(AB274/(S274+0.0001),3),"")</f>
        <v/>
      </c>
      <c r="AD274" s="6">
        <f>IFERROR(ROUND(AB274/(R274/1000),3),"")</f>
        <v/>
      </c>
    </row>
    <row r="275">
      <c r="AB275" s="6">
        <f>MAX(0,ROUND(T275*0.2+U275*0.2+V275*0.15+W275*0.15+X275*0.1+Z275*0.1+AA275*0.1-Y275,3))</f>
        <v/>
      </c>
      <c r="AC275" s="6">
        <f>IFERROR(ROUND(AB275/(S275+0.0001),3),"")</f>
        <v/>
      </c>
      <c r="AD275" s="6">
        <f>IFERROR(ROUND(AB275/(R275/1000),3),"")</f>
        <v/>
      </c>
    </row>
    <row r="276">
      <c r="AB276" s="6">
        <f>MAX(0,ROUND(T276*0.2+U276*0.2+V276*0.15+W276*0.15+X276*0.1+Z276*0.1+AA276*0.1-Y276,3))</f>
        <v/>
      </c>
      <c r="AC276" s="6">
        <f>IFERROR(ROUND(AB276/(S276+0.0001),3),"")</f>
        <v/>
      </c>
      <c r="AD276" s="6">
        <f>IFERROR(ROUND(AB276/(R276/1000),3),"")</f>
        <v/>
      </c>
    </row>
    <row r="277">
      <c r="AB277" s="6">
        <f>MAX(0,ROUND(T277*0.2+U277*0.2+V277*0.15+W277*0.15+X277*0.1+Z277*0.1+AA277*0.1-Y277,3))</f>
        <v/>
      </c>
      <c r="AC277" s="6">
        <f>IFERROR(ROUND(AB277/(S277+0.0001),3),"")</f>
        <v/>
      </c>
      <c r="AD277" s="6">
        <f>IFERROR(ROUND(AB277/(R277/1000),3),"")</f>
        <v/>
      </c>
    </row>
    <row r="278">
      <c r="AB278" s="6">
        <f>MAX(0,ROUND(T278*0.2+U278*0.2+V278*0.15+W278*0.15+X278*0.1+Z278*0.1+AA278*0.1-Y278,3))</f>
        <v/>
      </c>
      <c r="AC278" s="6">
        <f>IFERROR(ROUND(AB278/(S278+0.0001),3),"")</f>
        <v/>
      </c>
      <c r="AD278" s="6">
        <f>IFERROR(ROUND(AB278/(R278/1000),3),"")</f>
        <v/>
      </c>
    </row>
    <row r="279">
      <c r="AB279" s="6">
        <f>MAX(0,ROUND(T279*0.2+U279*0.2+V279*0.15+W279*0.15+X279*0.1+Z279*0.1+AA279*0.1-Y279,3))</f>
        <v/>
      </c>
      <c r="AC279" s="6">
        <f>IFERROR(ROUND(AB279/(S279+0.0001),3),"")</f>
        <v/>
      </c>
      <c r="AD279" s="6">
        <f>IFERROR(ROUND(AB279/(R279/1000),3),"")</f>
        <v/>
      </c>
    </row>
    <row r="280">
      <c r="AB280" s="6">
        <f>MAX(0,ROUND(T280*0.2+U280*0.2+V280*0.15+W280*0.15+X280*0.1+Z280*0.1+AA280*0.1-Y280,3))</f>
        <v/>
      </c>
      <c r="AC280" s="6">
        <f>IFERROR(ROUND(AB280/(S280+0.0001),3),"")</f>
        <v/>
      </c>
      <c r="AD280" s="6">
        <f>IFERROR(ROUND(AB280/(R280/1000),3),"")</f>
        <v/>
      </c>
    </row>
    <row r="281">
      <c r="AB281" s="6">
        <f>MAX(0,ROUND(T281*0.2+U281*0.2+V281*0.15+W281*0.15+X281*0.1+Z281*0.1+AA281*0.1-Y281,3))</f>
        <v/>
      </c>
      <c r="AC281" s="6">
        <f>IFERROR(ROUND(AB281/(S281+0.0001),3),"")</f>
        <v/>
      </c>
      <c r="AD281" s="6">
        <f>IFERROR(ROUND(AB281/(R281/1000),3),"")</f>
        <v/>
      </c>
    </row>
    <row r="282">
      <c r="AB282" s="6">
        <f>MAX(0,ROUND(T282*0.2+U282*0.2+V282*0.15+W282*0.15+X282*0.1+Z282*0.1+AA282*0.1-Y282,3))</f>
        <v/>
      </c>
      <c r="AC282" s="6">
        <f>IFERROR(ROUND(AB282/(S282+0.0001),3),"")</f>
        <v/>
      </c>
      <c r="AD282" s="6">
        <f>IFERROR(ROUND(AB282/(R282/1000),3),"")</f>
        <v/>
      </c>
    </row>
    <row r="283">
      <c r="AB283" s="6">
        <f>MAX(0,ROUND(T283*0.2+U283*0.2+V283*0.15+W283*0.15+X283*0.1+Z283*0.1+AA283*0.1-Y283,3))</f>
        <v/>
      </c>
      <c r="AC283" s="6">
        <f>IFERROR(ROUND(AB283/(S283+0.0001),3),"")</f>
        <v/>
      </c>
      <c r="AD283" s="6">
        <f>IFERROR(ROUND(AB283/(R283/1000),3),"")</f>
        <v/>
      </c>
    </row>
    <row r="284">
      <c r="AB284" s="6">
        <f>MAX(0,ROUND(T284*0.2+U284*0.2+V284*0.15+W284*0.15+X284*0.1+Z284*0.1+AA284*0.1-Y284,3))</f>
        <v/>
      </c>
      <c r="AC284" s="6">
        <f>IFERROR(ROUND(AB284/(S284+0.0001),3),"")</f>
        <v/>
      </c>
      <c r="AD284" s="6">
        <f>IFERROR(ROUND(AB284/(R284/1000),3),"")</f>
        <v/>
      </c>
    </row>
    <row r="285">
      <c r="AB285" s="6">
        <f>MAX(0,ROUND(T285*0.2+U285*0.2+V285*0.15+W285*0.15+X285*0.1+Z285*0.1+AA285*0.1-Y285,3))</f>
        <v/>
      </c>
      <c r="AC285" s="6">
        <f>IFERROR(ROUND(AB285/(S285+0.0001),3),"")</f>
        <v/>
      </c>
      <c r="AD285" s="6">
        <f>IFERROR(ROUND(AB285/(R285/1000),3),"")</f>
        <v/>
      </c>
    </row>
    <row r="286">
      <c r="AB286" s="6">
        <f>MAX(0,ROUND(T286*0.2+U286*0.2+V286*0.15+W286*0.15+X286*0.1+Z286*0.1+AA286*0.1-Y286,3))</f>
        <v/>
      </c>
      <c r="AC286" s="6">
        <f>IFERROR(ROUND(AB286/(S286+0.0001),3),"")</f>
        <v/>
      </c>
      <c r="AD286" s="6">
        <f>IFERROR(ROUND(AB286/(R286/1000),3),"")</f>
        <v/>
      </c>
    </row>
    <row r="287">
      <c r="AB287" s="6">
        <f>MAX(0,ROUND(T287*0.2+U287*0.2+V287*0.15+W287*0.15+X287*0.1+Z287*0.1+AA287*0.1-Y287,3))</f>
        <v/>
      </c>
      <c r="AC287" s="6">
        <f>IFERROR(ROUND(AB287/(S287+0.0001),3),"")</f>
        <v/>
      </c>
      <c r="AD287" s="6">
        <f>IFERROR(ROUND(AB287/(R287/1000),3),"")</f>
        <v/>
      </c>
    </row>
    <row r="288">
      <c r="AB288" s="6">
        <f>MAX(0,ROUND(T288*0.2+U288*0.2+V288*0.15+W288*0.15+X288*0.1+Z288*0.1+AA288*0.1-Y288,3))</f>
        <v/>
      </c>
      <c r="AC288" s="6">
        <f>IFERROR(ROUND(AB288/(S288+0.0001),3),"")</f>
        <v/>
      </c>
      <c r="AD288" s="6">
        <f>IFERROR(ROUND(AB288/(R288/1000),3),"")</f>
        <v/>
      </c>
    </row>
    <row r="289">
      <c r="AB289" s="6">
        <f>MAX(0,ROUND(T289*0.2+U289*0.2+V289*0.15+W289*0.15+X289*0.1+Z289*0.1+AA289*0.1-Y289,3))</f>
        <v/>
      </c>
      <c r="AC289" s="6">
        <f>IFERROR(ROUND(AB289/(S289+0.0001),3),"")</f>
        <v/>
      </c>
      <c r="AD289" s="6">
        <f>IFERROR(ROUND(AB289/(R289/1000),3),"")</f>
        <v/>
      </c>
    </row>
    <row r="290">
      <c r="AB290" s="6">
        <f>MAX(0,ROUND(T290*0.2+U290*0.2+V290*0.15+W290*0.15+X290*0.1+Z290*0.1+AA290*0.1-Y290,3))</f>
        <v/>
      </c>
      <c r="AC290" s="6">
        <f>IFERROR(ROUND(AB290/(S290+0.0001),3),"")</f>
        <v/>
      </c>
      <c r="AD290" s="6">
        <f>IFERROR(ROUND(AB290/(R290/1000),3),"")</f>
        <v/>
      </c>
    </row>
    <row r="291">
      <c r="AB291" s="6">
        <f>MAX(0,ROUND(T291*0.2+U291*0.2+V291*0.15+W291*0.15+X291*0.1+Z291*0.1+AA291*0.1-Y291,3))</f>
        <v/>
      </c>
      <c r="AC291" s="6">
        <f>IFERROR(ROUND(AB291/(S291+0.0001),3),"")</f>
        <v/>
      </c>
      <c r="AD291" s="6">
        <f>IFERROR(ROUND(AB291/(R291/1000),3),"")</f>
        <v/>
      </c>
    </row>
    <row r="292">
      <c r="AB292" s="6">
        <f>MAX(0,ROUND(T292*0.2+U292*0.2+V292*0.15+W292*0.15+X292*0.1+Z292*0.1+AA292*0.1-Y292,3))</f>
        <v/>
      </c>
      <c r="AC292" s="6">
        <f>IFERROR(ROUND(AB292/(S292+0.0001),3),"")</f>
        <v/>
      </c>
      <c r="AD292" s="6">
        <f>IFERROR(ROUND(AB292/(R292/1000),3),"")</f>
        <v/>
      </c>
    </row>
    <row r="293">
      <c r="AB293" s="6">
        <f>MAX(0,ROUND(T293*0.2+U293*0.2+V293*0.15+W293*0.15+X293*0.1+Z293*0.1+AA293*0.1-Y293,3))</f>
        <v/>
      </c>
      <c r="AC293" s="6">
        <f>IFERROR(ROUND(AB293/(S293+0.0001),3),"")</f>
        <v/>
      </c>
      <c r="AD293" s="6">
        <f>IFERROR(ROUND(AB293/(R293/1000),3),"")</f>
        <v/>
      </c>
    </row>
    <row r="294">
      <c r="AB294" s="6">
        <f>MAX(0,ROUND(T294*0.2+U294*0.2+V294*0.15+W294*0.15+X294*0.1+Z294*0.1+AA294*0.1-Y294,3))</f>
        <v/>
      </c>
      <c r="AC294" s="6">
        <f>IFERROR(ROUND(AB294/(S294+0.0001),3),"")</f>
        <v/>
      </c>
      <c r="AD294" s="6">
        <f>IFERROR(ROUND(AB294/(R294/1000),3),"")</f>
        <v/>
      </c>
    </row>
    <row r="295">
      <c r="AB295" s="6">
        <f>MAX(0,ROUND(T295*0.2+U295*0.2+V295*0.15+W295*0.15+X295*0.1+Z295*0.1+AA295*0.1-Y295,3))</f>
        <v/>
      </c>
      <c r="AC295" s="6">
        <f>IFERROR(ROUND(AB295/(S295+0.0001),3),"")</f>
        <v/>
      </c>
      <c r="AD295" s="6">
        <f>IFERROR(ROUND(AB295/(R295/1000),3),"")</f>
        <v/>
      </c>
    </row>
    <row r="296">
      <c r="AB296" s="6">
        <f>MAX(0,ROUND(T296*0.2+U296*0.2+V296*0.15+W296*0.15+X296*0.1+Z296*0.1+AA296*0.1-Y296,3))</f>
        <v/>
      </c>
      <c r="AC296" s="6">
        <f>IFERROR(ROUND(AB296/(S296+0.0001),3),"")</f>
        <v/>
      </c>
      <c r="AD296" s="6">
        <f>IFERROR(ROUND(AB296/(R296/1000),3),"")</f>
        <v/>
      </c>
    </row>
    <row r="297">
      <c r="AB297" s="6">
        <f>MAX(0,ROUND(T297*0.2+U297*0.2+V297*0.15+W297*0.15+X297*0.1+Z297*0.1+AA297*0.1-Y297,3))</f>
        <v/>
      </c>
      <c r="AC297" s="6">
        <f>IFERROR(ROUND(AB297/(S297+0.0001),3),"")</f>
        <v/>
      </c>
      <c r="AD297" s="6">
        <f>IFERROR(ROUND(AB297/(R297/1000),3),"")</f>
        <v/>
      </c>
    </row>
    <row r="298">
      <c r="AB298" s="6">
        <f>MAX(0,ROUND(T298*0.2+U298*0.2+V298*0.15+W298*0.15+X298*0.1+Z298*0.1+AA298*0.1-Y298,3))</f>
        <v/>
      </c>
      <c r="AC298" s="6">
        <f>IFERROR(ROUND(AB298/(S298+0.0001),3),"")</f>
        <v/>
      </c>
      <c r="AD298" s="6">
        <f>IFERROR(ROUND(AB298/(R298/1000),3),"")</f>
        <v/>
      </c>
    </row>
    <row r="299">
      <c r="AB299" s="6">
        <f>MAX(0,ROUND(T299*0.2+U299*0.2+V299*0.15+W299*0.15+X299*0.1+Z299*0.1+AA299*0.1-Y299,3))</f>
        <v/>
      </c>
      <c r="AC299" s="6">
        <f>IFERROR(ROUND(AB299/(S299+0.0001),3),"")</f>
        <v/>
      </c>
      <c r="AD299" s="6">
        <f>IFERROR(ROUND(AB299/(R299/1000),3),"")</f>
        <v/>
      </c>
    </row>
    <row r="300">
      <c r="AB300" s="6">
        <f>MAX(0,ROUND(T300*0.2+U300*0.2+V300*0.15+W300*0.15+X300*0.1+Z300*0.1+AA300*0.1-Y300,3))</f>
        <v/>
      </c>
      <c r="AC300" s="6">
        <f>IFERROR(ROUND(AB300/(S300+0.0001),3),"")</f>
        <v/>
      </c>
      <c r="AD300" s="6">
        <f>IFERROR(ROUND(AB300/(R300/1000),3),"")</f>
        <v/>
      </c>
    </row>
    <row r="301">
      <c r="AB301" s="6">
        <f>MAX(0,ROUND(T301*0.2+U301*0.2+V301*0.15+W301*0.15+X301*0.1+Z301*0.1+AA301*0.1-Y301,3))</f>
        <v/>
      </c>
      <c r="AC301" s="6">
        <f>IFERROR(ROUND(AB301/(S301+0.0001),3),"")</f>
        <v/>
      </c>
      <c r="AD301" s="6">
        <f>IFERROR(ROUND(AB301/(R301/1000),3),"")</f>
        <v/>
      </c>
    </row>
    <row r="302">
      <c r="AB302" s="6">
        <f>MAX(0,ROUND(T302*0.2+U302*0.2+V302*0.15+W302*0.15+X302*0.1+Z302*0.1+AA302*0.1-Y302,3))</f>
        <v/>
      </c>
      <c r="AC302" s="6">
        <f>IFERROR(ROUND(AB302/(S302+0.0001),3),"")</f>
        <v/>
      </c>
      <c r="AD302" s="6">
        <f>IFERROR(ROUND(AB302/(R302/1000),3),"")</f>
        <v/>
      </c>
    </row>
    <row r="303">
      <c r="AB303" s="6">
        <f>MAX(0,ROUND(T303*0.2+U303*0.2+V303*0.15+W303*0.15+X303*0.1+Z303*0.1+AA303*0.1-Y303,3))</f>
        <v/>
      </c>
      <c r="AC303" s="6">
        <f>IFERROR(ROUND(AB303/(S303+0.0001),3),"")</f>
        <v/>
      </c>
      <c r="AD303" s="6">
        <f>IFERROR(ROUND(AB303/(R303/1000),3),"")</f>
        <v/>
      </c>
    </row>
    <row r="304">
      <c r="AB304" s="6">
        <f>MAX(0,ROUND(T304*0.2+U304*0.2+V304*0.15+W304*0.15+X304*0.1+Z304*0.1+AA304*0.1-Y304,3))</f>
        <v/>
      </c>
      <c r="AC304" s="6">
        <f>IFERROR(ROUND(AB304/(S304+0.0001),3),"")</f>
        <v/>
      </c>
      <c r="AD304" s="6">
        <f>IFERROR(ROUND(AB304/(R304/1000),3),"")</f>
        <v/>
      </c>
    </row>
    <row r="305">
      <c r="AB305" s="6">
        <f>MAX(0,ROUND(T305*0.2+U305*0.2+V305*0.15+W305*0.15+X305*0.1+Z305*0.1+AA305*0.1-Y305,3))</f>
        <v/>
      </c>
      <c r="AC305" s="6">
        <f>IFERROR(ROUND(AB305/(S305+0.0001),3),"")</f>
        <v/>
      </c>
      <c r="AD305" s="6">
        <f>IFERROR(ROUND(AB305/(R305/1000),3),"")</f>
        <v/>
      </c>
    </row>
    <row r="306">
      <c r="AB306" s="6">
        <f>MAX(0,ROUND(T306*0.2+U306*0.2+V306*0.15+W306*0.15+X306*0.1+Z306*0.1+AA306*0.1-Y306,3))</f>
        <v/>
      </c>
      <c r="AC306" s="6">
        <f>IFERROR(ROUND(AB306/(S306+0.0001),3),"")</f>
        <v/>
      </c>
      <c r="AD306" s="6">
        <f>IFERROR(ROUND(AB306/(R306/1000),3),"")</f>
        <v/>
      </c>
    </row>
    <row r="307">
      <c r="AB307" s="6">
        <f>MAX(0,ROUND(T307*0.2+U307*0.2+V307*0.15+W307*0.15+X307*0.1+Z307*0.1+AA307*0.1-Y307,3))</f>
        <v/>
      </c>
      <c r="AC307" s="6">
        <f>IFERROR(ROUND(AB307/(S307+0.0001),3),"")</f>
        <v/>
      </c>
      <c r="AD307" s="6">
        <f>IFERROR(ROUND(AB307/(R307/1000),3),"")</f>
        <v/>
      </c>
    </row>
    <row r="308">
      <c r="AB308" s="6">
        <f>MAX(0,ROUND(T308*0.2+U308*0.2+V308*0.15+W308*0.15+X308*0.1+Z308*0.1+AA308*0.1-Y308,3))</f>
        <v/>
      </c>
      <c r="AC308" s="6">
        <f>IFERROR(ROUND(AB308/(S308+0.0001),3),"")</f>
        <v/>
      </c>
      <c r="AD308" s="6">
        <f>IFERROR(ROUND(AB308/(R308/1000),3),"")</f>
        <v/>
      </c>
    </row>
    <row r="309">
      <c r="AB309" s="6">
        <f>MAX(0,ROUND(T309*0.2+U309*0.2+V309*0.15+W309*0.15+X309*0.1+Z309*0.1+AA309*0.1-Y309,3))</f>
        <v/>
      </c>
      <c r="AC309" s="6">
        <f>IFERROR(ROUND(AB309/(S309+0.0001),3),"")</f>
        <v/>
      </c>
      <c r="AD309" s="6">
        <f>IFERROR(ROUND(AB309/(R309/1000),3),"")</f>
        <v/>
      </c>
    </row>
    <row r="310">
      <c r="AB310" s="6">
        <f>MAX(0,ROUND(T310*0.2+U310*0.2+V310*0.15+W310*0.15+X310*0.1+Z310*0.1+AA310*0.1-Y310,3))</f>
        <v/>
      </c>
      <c r="AC310" s="6">
        <f>IFERROR(ROUND(AB310/(S310+0.0001),3),"")</f>
        <v/>
      </c>
      <c r="AD310" s="6">
        <f>IFERROR(ROUND(AB310/(R310/1000),3),"")</f>
        <v/>
      </c>
    </row>
    <row r="311">
      <c r="AB311" s="6">
        <f>MAX(0,ROUND(T311*0.2+U311*0.2+V311*0.15+W311*0.15+X311*0.1+Z311*0.1+AA311*0.1-Y311,3))</f>
        <v/>
      </c>
      <c r="AC311" s="6">
        <f>IFERROR(ROUND(AB311/(S311+0.0001),3),"")</f>
        <v/>
      </c>
      <c r="AD311" s="6">
        <f>IFERROR(ROUND(AB311/(R311/1000),3),"")</f>
        <v/>
      </c>
    </row>
    <row r="312">
      <c r="AB312" s="6">
        <f>MAX(0,ROUND(T312*0.2+U312*0.2+V312*0.15+W312*0.15+X312*0.1+Z312*0.1+AA312*0.1-Y312,3))</f>
        <v/>
      </c>
      <c r="AC312" s="6">
        <f>IFERROR(ROUND(AB312/(S312+0.0001),3),"")</f>
        <v/>
      </c>
      <c r="AD312" s="6">
        <f>IFERROR(ROUND(AB312/(R312/1000),3),"")</f>
        <v/>
      </c>
    </row>
    <row r="313">
      <c r="AB313" s="6">
        <f>MAX(0,ROUND(T313*0.2+U313*0.2+V313*0.15+W313*0.15+X313*0.1+Z313*0.1+AA313*0.1-Y313,3))</f>
        <v/>
      </c>
      <c r="AC313" s="6">
        <f>IFERROR(ROUND(AB313/(S313+0.0001),3),"")</f>
        <v/>
      </c>
      <c r="AD313" s="6">
        <f>IFERROR(ROUND(AB313/(R313/1000),3),"")</f>
        <v/>
      </c>
    </row>
    <row r="314">
      <c r="AB314" s="6">
        <f>MAX(0,ROUND(T314*0.2+U314*0.2+V314*0.15+W314*0.15+X314*0.1+Z314*0.1+AA314*0.1-Y314,3))</f>
        <v/>
      </c>
      <c r="AC314" s="6">
        <f>IFERROR(ROUND(AB314/(S314+0.0001),3),"")</f>
        <v/>
      </c>
      <c r="AD314" s="6">
        <f>IFERROR(ROUND(AB314/(R314/1000),3),"")</f>
        <v/>
      </c>
    </row>
    <row r="315">
      <c r="AB315" s="6">
        <f>MAX(0,ROUND(T315*0.2+U315*0.2+V315*0.15+W315*0.15+X315*0.1+Z315*0.1+AA315*0.1-Y315,3))</f>
        <v/>
      </c>
      <c r="AC315" s="6">
        <f>IFERROR(ROUND(AB315/(S315+0.0001),3),"")</f>
        <v/>
      </c>
      <c r="AD315" s="6">
        <f>IFERROR(ROUND(AB315/(R315/1000),3),"")</f>
        <v/>
      </c>
    </row>
    <row r="316">
      <c r="AB316" s="6">
        <f>MAX(0,ROUND(T316*0.2+U316*0.2+V316*0.15+W316*0.15+X316*0.1+Z316*0.1+AA316*0.1-Y316,3))</f>
        <v/>
      </c>
      <c r="AC316" s="6">
        <f>IFERROR(ROUND(AB316/(S316+0.0001),3),"")</f>
        <v/>
      </c>
      <c r="AD316" s="6">
        <f>IFERROR(ROUND(AB316/(R316/1000),3),"")</f>
        <v/>
      </c>
    </row>
    <row r="317">
      <c r="AB317" s="6">
        <f>MAX(0,ROUND(T317*0.2+U317*0.2+V317*0.15+W317*0.15+X317*0.1+Z317*0.1+AA317*0.1-Y317,3))</f>
        <v/>
      </c>
      <c r="AC317" s="6">
        <f>IFERROR(ROUND(AB317/(S317+0.0001),3),"")</f>
        <v/>
      </c>
      <c r="AD317" s="6">
        <f>IFERROR(ROUND(AB317/(R317/1000),3),"")</f>
        <v/>
      </c>
    </row>
    <row r="318">
      <c r="AB318" s="6">
        <f>MAX(0,ROUND(T318*0.2+U318*0.2+V318*0.15+W318*0.15+X318*0.1+Z318*0.1+AA318*0.1-Y318,3))</f>
        <v/>
      </c>
      <c r="AC318" s="6">
        <f>IFERROR(ROUND(AB318/(S318+0.0001),3),"")</f>
        <v/>
      </c>
      <c r="AD318" s="6">
        <f>IFERROR(ROUND(AB318/(R318/1000),3),"")</f>
        <v/>
      </c>
    </row>
    <row r="319">
      <c r="AB319" s="6">
        <f>MAX(0,ROUND(T319*0.2+U319*0.2+V319*0.15+W319*0.15+X319*0.1+Z319*0.1+AA319*0.1-Y319,3))</f>
        <v/>
      </c>
      <c r="AC319" s="6">
        <f>IFERROR(ROUND(AB319/(S319+0.0001),3),"")</f>
        <v/>
      </c>
      <c r="AD319" s="6">
        <f>IFERROR(ROUND(AB319/(R319/1000),3),"")</f>
        <v/>
      </c>
    </row>
    <row r="320">
      <c r="AB320" s="6">
        <f>MAX(0,ROUND(T320*0.2+U320*0.2+V320*0.15+W320*0.15+X320*0.1+Z320*0.1+AA320*0.1-Y320,3))</f>
        <v/>
      </c>
      <c r="AC320" s="6">
        <f>IFERROR(ROUND(AB320/(S320+0.0001),3),"")</f>
        <v/>
      </c>
      <c r="AD320" s="6">
        <f>IFERROR(ROUND(AB320/(R320/1000),3),"")</f>
        <v/>
      </c>
    </row>
    <row r="321">
      <c r="AB321" s="6">
        <f>MAX(0,ROUND(T321*0.2+U321*0.2+V321*0.15+W321*0.15+X321*0.1+Z321*0.1+AA321*0.1-Y321,3))</f>
        <v/>
      </c>
      <c r="AC321" s="6">
        <f>IFERROR(ROUND(AB321/(S321+0.0001),3),"")</f>
        <v/>
      </c>
      <c r="AD321" s="6">
        <f>IFERROR(ROUND(AB321/(R321/1000),3),"")</f>
        <v/>
      </c>
    </row>
    <row r="322">
      <c r="AB322" s="6">
        <f>MAX(0,ROUND(T322*0.2+U322*0.2+V322*0.15+W322*0.15+X322*0.1+Z322*0.1+AA322*0.1-Y322,3))</f>
        <v/>
      </c>
      <c r="AC322" s="6">
        <f>IFERROR(ROUND(AB322/(S322+0.0001),3),"")</f>
        <v/>
      </c>
      <c r="AD322" s="6">
        <f>IFERROR(ROUND(AB322/(R322/1000),3),"")</f>
        <v/>
      </c>
    </row>
    <row r="323">
      <c r="AB323" s="6">
        <f>MAX(0,ROUND(T323*0.2+U323*0.2+V323*0.15+W323*0.15+X323*0.1+Z323*0.1+AA323*0.1-Y323,3))</f>
        <v/>
      </c>
      <c r="AC323" s="6">
        <f>IFERROR(ROUND(AB323/(S323+0.0001),3),"")</f>
        <v/>
      </c>
      <c r="AD323" s="6">
        <f>IFERROR(ROUND(AB323/(R323/1000),3),"")</f>
        <v/>
      </c>
    </row>
    <row r="324">
      <c r="AB324" s="6">
        <f>MAX(0,ROUND(T324*0.2+U324*0.2+V324*0.15+W324*0.15+X324*0.1+Z324*0.1+AA324*0.1-Y324,3))</f>
        <v/>
      </c>
      <c r="AC324" s="6">
        <f>IFERROR(ROUND(AB324/(S324+0.0001),3),"")</f>
        <v/>
      </c>
      <c r="AD324" s="6">
        <f>IFERROR(ROUND(AB324/(R324/1000),3),"")</f>
        <v/>
      </c>
    </row>
    <row r="325">
      <c r="AB325" s="6">
        <f>MAX(0,ROUND(T325*0.2+U325*0.2+V325*0.15+W325*0.15+X325*0.1+Z325*0.1+AA325*0.1-Y325,3))</f>
        <v/>
      </c>
      <c r="AC325" s="6">
        <f>IFERROR(ROUND(AB325/(S325+0.0001),3),"")</f>
        <v/>
      </c>
      <c r="AD325" s="6">
        <f>IFERROR(ROUND(AB325/(R325/1000),3),"")</f>
        <v/>
      </c>
    </row>
    <row r="326">
      <c r="AB326" s="6">
        <f>MAX(0,ROUND(T326*0.2+U326*0.2+V326*0.15+W326*0.15+X326*0.1+Z326*0.1+AA326*0.1-Y326,3))</f>
        <v/>
      </c>
      <c r="AC326" s="6">
        <f>IFERROR(ROUND(AB326/(S326+0.0001),3),"")</f>
        <v/>
      </c>
      <c r="AD326" s="6">
        <f>IFERROR(ROUND(AB326/(R326/1000),3),"")</f>
        <v/>
      </c>
    </row>
    <row r="327">
      <c r="AB327" s="6">
        <f>MAX(0,ROUND(T327*0.2+U327*0.2+V327*0.15+W327*0.15+X327*0.1+Z327*0.1+AA327*0.1-Y327,3))</f>
        <v/>
      </c>
      <c r="AC327" s="6">
        <f>IFERROR(ROUND(AB327/(S327+0.0001),3),"")</f>
        <v/>
      </c>
      <c r="AD327" s="6">
        <f>IFERROR(ROUND(AB327/(R327/1000),3),"")</f>
        <v/>
      </c>
    </row>
    <row r="328">
      <c r="AB328" s="6">
        <f>MAX(0,ROUND(T328*0.2+U328*0.2+V328*0.15+W328*0.15+X328*0.1+Z328*0.1+AA328*0.1-Y328,3))</f>
        <v/>
      </c>
      <c r="AC328" s="6">
        <f>IFERROR(ROUND(AB328/(S328+0.0001),3),"")</f>
        <v/>
      </c>
      <c r="AD328" s="6">
        <f>IFERROR(ROUND(AB328/(R328/1000),3),"")</f>
        <v/>
      </c>
    </row>
    <row r="329">
      <c r="AB329" s="6">
        <f>MAX(0,ROUND(T329*0.2+U329*0.2+V329*0.15+W329*0.15+X329*0.1+Z329*0.1+AA329*0.1-Y329,3))</f>
        <v/>
      </c>
      <c r="AC329" s="6">
        <f>IFERROR(ROUND(AB329/(S329+0.0001),3),"")</f>
        <v/>
      </c>
      <c r="AD329" s="6">
        <f>IFERROR(ROUND(AB329/(R329/1000),3),"")</f>
        <v/>
      </c>
    </row>
    <row r="330">
      <c r="AB330" s="6">
        <f>MAX(0,ROUND(T330*0.2+U330*0.2+V330*0.15+W330*0.15+X330*0.1+Z330*0.1+AA330*0.1-Y330,3))</f>
        <v/>
      </c>
      <c r="AC330" s="6">
        <f>IFERROR(ROUND(AB330/(S330+0.0001),3),"")</f>
        <v/>
      </c>
      <c r="AD330" s="6">
        <f>IFERROR(ROUND(AB330/(R330/1000),3),"")</f>
        <v/>
      </c>
    </row>
    <row r="331">
      <c r="AB331" s="6">
        <f>MAX(0,ROUND(T331*0.2+U331*0.2+V331*0.15+W331*0.15+X331*0.1+Z331*0.1+AA331*0.1-Y331,3))</f>
        <v/>
      </c>
      <c r="AC331" s="6">
        <f>IFERROR(ROUND(AB331/(S331+0.0001),3),"")</f>
        <v/>
      </c>
      <c r="AD331" s="6">
        <f>IFERROR(ROUND(AB331/(R331/1000),3),"")</f>
        <v/>
      </c>
    </row>
    <row r="332">
      <c r="AB332" s="6">
        <f>MAX(0,ROUND(T332*0.2+U332*0.2+V332*0.15+W332*0.15+X332*0.1+Z332*0.1+AA332*0.1-Y332,3))</f>
        <v/>
      </c>
      <c r="AC332" s="6">
        <f>IFERROR(ROUND(AB332/(S332+0.0001),3),"")</f>
        <v/>
      </c>
      <c r="AD332" s="6">
        <f>IFERROR(ROUND(AB332/(R332/1000),3),"")</f>
        <v/>
      </c>
    </row>
    <row r="333">
      <c r="AB333" s="6">
        <f>MAX(0,ROUND(T333*0.2+U333*0.2+V333*0.15+W333*0.15+X333*0.1+Z333*0.1+AA333*0.1-Y333,3))</f>
        <v/>
      </c>
      <c r="AC333" s="6">
        <f>IFERROR(ROUND(AB333/(S333+0.0001),3),"")</f>
        <v/>
      </c>
      <c r="AD333" s="6">
        <f>IFERROR(ROUND(AB333/(R333/1000),3),"")</f>
        <v/>
      </c>
    </row>
    <row r="334">
      <c r="AB334" s="6">
        <f>MAX(0,ROUND(T334*0.2+U334*0.2+V334*0.15+W334*0.15+X334*0.1+Z334*0.1+AA334*0.1-Y334,3))</f>
        <v/>
      </c>
      <c r="AC334" s="6">
        <f>IFERROR(ROUND(AB334/(S334+0.0001),3),"")</f>
        <v/>
      </c>
      <c r="AD334" s="6">
        <f>IFERROR(ROUND(AB334/(R334/1000),3),"")</f>
        <v/>
      </c>
    </row>
    <row r="335">
      <c r="AB335" s="6">
        <f>MAX(0,ROUND(T335*0.2+U335*0.2+V335*0.15+W335*0.15+X335*0.1+Z335*0.1+AA335*0.1-Y335,3))</f>
        <v/>
      </c>
      <c r="AC335" s="6">
        <f>IFERROR(ROUND(AB335/(S335+0.0001),3),"")</f>
        <v/>
      </c>
      <c r="AD335" s="6">
        <f>IFERROR(ROUND(AB335/(R335/1000),3),"")</f>
        <v/>
      </c>
    </row>
    <row r="336">
      <c r="AB336" s="6">
        <f>MAX(0,ROUND(T336*0.2+U336*0.2+V336*0.15+W336*0.15+X336*0.1+Z336*0.1+AA336*0.1-Y336,3))</f>
        <v/>
      </c>
      <c r="AC336" s="6">
        <f>IFERROR(ROUND(AB336/(S336+0.0001),3),"")</f>
        <v/>
      </c>
      <c r="AD336" s="6">
        <f>IFERROR(ROUND(AB336/(R336/1000),3),"")</f>
        <v/>
      </c>
    </row>
    <row r="337">
      <c r="AB337" s="6">
        <f>MAX(0,ROUND(T337*0.2+U337*0.2+V337*0.15+W337*0.15+X337*0.1+Z337*0.1+AA337*0.1-Y337,3))</f>
        <v/>
      </c>
      <c r="AC337" s="6">
        <f>IFERROR(ROUND(AB337/(S337+0.0001),3),"")</f>
        <v/>
      </c>
      <c r="AD337" s="6">
        <f>IFERROR(ROUND(AB337/(R337/1000),3),"")</f>
        <v/>
      </c>
    </row>
    <row r="338">
      <c r="AB338" s="6">
        <f>MAX(0,ROUND(T338*0.2+U338*0.2+V338*0.15+W338*0.15+X338*0.1+Z338*0.1+AA338*0.1-Y338,3))</f>
        <v/>
      </c>
      <c r="AC338" s="6">
        <f>IFERROR(ROUND(AB338/(S338+0.0001),3),"")</f>
        <v/>
      </c>
      <c r="AD338" s="6">
        <f>IFERROR(ROUND(AB338/(R338/1000),3),"")</f>
        <v/>
      </c>
    </row>
    <row r="339">
      <c r="AB339" s="6">
        <f>MAX(0,ROUND(T339*0.2+U339*0.2+V339*0.15+W339*0.15+X339*0.1+Z339*0.1+AA339*0.1-Y339,3))</f>
        <v/>
      </c>
      <c r="AC339" s="6">
        <f>IFERROR(ROUND(AB339/(S339+0.0001),3),"")</f>
        <v/>
      </c>
      <c r="AD339" s="6">
        <f>IFERROR(ROUND(AB339/(R339/1000),3),"")</f>
        <v/>
      </c>
    </row>
    <row r="340">
      <c r="AB340" s="6">
        <f>MAX(0,ROUND(T340*0.2+U340*0.2+V340*0.15+W340*0.15+X340*0.1+Z340*0.1+AA340*0.1-Y340,3))</f>
        <v/>
      </c>
      <c r="AC340" s="6">
        <f>IFERROR(ROUND(AB340/(S340+0.0001),3),"")</f>
        <v/>
      </c>
      <c r="AD340" s="6">
        <f>IFERROR(ROUND(AB340/(R340/1000),3),"")</f>
        <v/>
      </c>
    </row>
    <row r="341">
      <c r="AB341" s="6">
        <f>MAX(0,ROUND(T341*0.2+U341*0.2+V341*0.15+W341*0.15+X341*0.1+Z341*0.1+AA341*0.1-Y341,3))</f>
        <v/>
      </c>
      <c r="AC341" s="6">
        <f>IFERROR(ROUND(AB341/(S341+0.0001),3),"")</f>
        <v/>
      </c>
      <c r="AD341" s="6">
        <f>IFERROR(ROUND(AB341/(R341/1000),3),"")</f>
        <v/>
      </c>
    </row>
    <row r="342">
      <c r="AB342" s="6">
        <f>MAX(0,ROUND(T342*0.2+U342*0.2+V342*0.15+W342*0.15+X342*0.1+Z342*0.1+AA342*0.1-Y342,3))</f>
        <v/>
      </c>
      <c r="AC342" s="6">
        <f>IFERROR(ROUND(AB342/(S342+0.0001),3),"")</f>
        <v/>
      </c>
      <c r="AD342" s="6">
        <f>IFERROR(ROUND(AB342/(R342/1000),3),"")</f>
        <v/>
      </c>
    </row>
    <row r="343">
      <c r="AB343" s="6">
        <f>MAX(0,ROUND(T343*0.2+U343*0.2+V343*0.15+W343*0.15+X343*0.1+Z343*0.1+AA343*0.1-Y343,3))</f>
        <v/>
      </c>
      <c r="AC343" s="6">
        <f>IFERROR(ROUND(AB343/(S343+0.0001),3),"")</f>
        <v/>
      </c>
      <c r="AD343" s="6">
        <f>IFERROR(ROUND(AB343/(R343/1000),3),"")</f>
        <v/>
      </c>
    </row>
    <row r="344">
      <c r="AB344" s="6">
        <f>MAX(0,ROUND(T344*0.2+U344*0.2+V344*0.15+W344*0.15+X344*0.1+Z344*0.1+AA344*0.1-Y344,3))</f>
        <v/>
      </c>
      <c r="AC344" s="6">
        <f>IFERROR(ROUND(AB344/(S344+0.0001),3),"")</f>
        <v/>
      </c>
      <c r="AD344" s="6">
        <f>IFERROR(ROUND(AB344/(R344/1000),3),"")</f>
        <v/>
      </c>
    </row>
    <row r="345">
      <c r="AB345" s="6">
        <f>MAX(0,ROUND(T345*0.2+U345*0.2+V345*0.15+W345*0.15+X345*0.1+Z345*0.1+AA345*0.1-Y345,3))</f>
        <v/>
      </c>
      <c r="AC345" s="6">
        <f>IFERROR(ROUND(AB345/(S345+0.0001),3),"")</f>
        <v/>
      </c>
      <c r="AD345" s="6">
        <f>IFERROR(ROUND(AB345/(R345/1000),3),"")</f>
        <v/>
      </c>
    </row>
    <row r="346">
      <c r="AB346" s="6">
        <f>MAX(0,ROUND(T346*0.2+U346*0.2+V346*0.15+W346*0.15+X346*0.1+Z346*0.1+AA346*0.1-Y346,3))</f>
        <v/>
      </c>
      <c r="AC346" s="6">
        <f>IFERROR(ROUND(AB346/(S346+0.0001),3),"")</f>
        <v/>
      </c>
      <c r="AD346" s="6">
        <f>IFERROR(ROUND(AB346/(R346/1000),3),"")</f>
        <v/>
      </c>
    </row>
    <row r="347">
      <c r="AB347" s="6">
        <f>MAX(0,ROUND(T347*0.2+U347*0.2+V347*0.15+W347*0.15+X347*0.1+Z347*0.1+AA347*0.1-Y347,3))</f>
        <v/>
      </c>
      <c r="AC347" s="6">
        <f>IFERROR(ROUND(AB347/(S347+0.0001),3),"")</f>
        <v/>
      </c>
      <c r="AD347" s="6">
        <f>IFERROR(ROUND(AB347/(R347/1000),3),"")</f>
        <v/>
      </c>
    </row>
    <row r="348">
      <c r="AB348" s="6">
        <f>MAX(0,ROUND(T348*0.2+U348*0.2+V348*0.15+W348*0.15+X348*0.1+Z348*0.1+AA348*0.1-Y348,3))</f>
        <v/>
      </c>
      <c r="AC348" s="6">
        <f>IFERROR(ROUND(AB348/(S348+0.0001),3),"")</f>
        <v/>
      </c>
      <c r="AD348" s="6">
        <f>IFERROR(ROUND(AB348/(R348/1000),3),"")</f>
        <v/>
      </c>
    </row>
    <row r="349">
      <c r="AB349" s="6">
        <f>MAX(0,ROUND(T349*0.2+U349*0.2+V349*0.15+W349*0.15+X349*0.1+Z349*0.1+AA349*0.1-Y349,3))</f>
        <v/>
      </c>
      <c r="AC349" s="6">
        <f>IFERROR(ROUND(AB349/(S349+0.0001),3),"")</f>
        <v/>
      </c>
      <c r="AD349" s="6">
        <f>IFERROR(ROUND(AB349/(R349/1000),3),"")</f>
        <v/>
      </c>
    </row>
    <row r="350">
      <c r="AB350" s="6">
        <f>MAX(0,ROUND(T350*0.2+U350*0.2+V350*0.15+W350*0.15+X350*0.1+Z350*0.1+AA350*0.1-Y350,3))</f>
        <v/>
      </c>
      <c r="AC350" s="6">
        <f>IFERROR(ROUND(AB350/(S350+0.0001),3),"")</f>
        <v/>
      </c>
      <c r="AD350" s="6">
        <f>IFERROR(ROUND(AB350/(R350/1000),3),"")</f>
        <v/>
      </c>
    </row>
    <row r="351">
      <c r="AB351" s="6">
        <f>MAX(0,ROUND(T351*0.2+U351*0.2+V351*0.15+W351*0.15+X351*0.1+Z351*0.1+AA351*0.1-Y351,3))</f>
        <v/>
      </c>
      <c r="AC351" s="6">
        <f>IFERROR(ROUND(AB351/(S351+0.0001),3),"")</f>
        <v/>
      </c>
      <c r="AD351" s="6">
        <f>IFERROR(ROUND(AB351/(R351/1000),3),"")</f>
        <v/>
      </c>
    </row>
    <row r="352">
      <c r="AB352" s="6">
        <f>MAX(0,ROUND(T352*0.2+U352*0.2+V352*0.15+W352*0.15+X352*0.1+Z352*0.1+AA352*0.1-Y352,3))</f>
        <v/>
      </c>
      <c r="AC352" s="6">
        <f>IFERROR(ROUND(AB352/(S352+0.0001),3),"")</f>
        <v/>
      </c>
      <c r="AD352" s="6">
        <f>IFERROR(ROUND(AB352/(R352/1000),3),"")</f>
        <v/>
      </c>
    </row>
    <row r="353">
      <c r="AB353" s="6">
        <f>MAX(0,ROUND(T353*0.2+U353*0.2+V353*0.15+W353*0.15+X353*0.1+Z353*0.1+AA353*0.1-Y353,3))</f>
        <v/>
      </c>
      <c r="AC353" s="6">
        <f>IFERROR(ROUND(AB353/(S353+0.0001),3),"")</f>
        <v/>
      </c>
      <c r="AD353" s="6">
        <f>IFERROR(ROUND(AB353/(R353/1000),3),"")</f>
        <v/>
      </c>
    </row>
    <row r="354">
      <c r="AB354" s="6">
        <f>MAX(0,ROUND(T354*0.2+U354*0.2+V354*0.15+W354*0.15+X354*0.1+Z354*0.1+AA354*0.1-Y354,3))</f>
        <v/>
      </c>
      <c r="AC354" s="6">
        <f>IFERROR(ROUND(AB354/(S354+0.0001),3),"")</f>
        <v/>
      </c>
      <c r="AD354" s="6">
        <f>IFERROR(ROUND(AB354/(R354/1000),3),"")</f>
        <v/>
      </c>
    </row>
    <row r="355">
      <c r="AB355" s="6">
        <f>MAX(0,ROUND(T355*0.2+U355*0.2+V355*0.15+W355*0.15+X355*0.1+Z355*0.1+AA355*0.1-Y355,3))</f>
        <v/>
      </c>
      <c r="AC355" s="6">
        <f>IFERROR(ROUND(AB355/(S355+0.0001),3),"")</f>
        <v/>
      </c>
      <c r="AD355" s="6">
        <f>IFERROR(ROUND(AB355/(R355/1000),3),"")</f>
        <v/>
      </c>
    </row>
    <row r="356">
      <c r="AB356" s="6">
        <f>MAX(0,ROUND(T356*0.2+U356*0.2+V356*0.15+W356*0.15+X356*0.1+Z356*0.1+AA356*0.1-Y356,3))</f>
        <v/>
      </c>
      <c r="AC356" s="6">
        <f>IFERROR(ROUND(AB356/(S356+0.0001),3),"")</f>
        <v/>
      </c>
      <c r="AD356" s="6">
        <f>IFERROR(ROUND(AB356/(R356/1000),3),"")</f>
        <v/>
      </c>
    </row>
    <row r="357">
      <c r="AB357" s="6">
        <f>MAX(0,ROUND(T357*0.2+U357*0.2+V357*0.15+W357*0.15+X357*0.1+Z357*0.1+AA357*0.1-Y357,3))</f>
        <v/>
      </c>
      <c r="AC357" s="6">
        <f>IFERROR(ROUND(AB357/(S357+0.0001),3),"")</f>
        <v/>
      </c>
      <c r="AD357" s="6">
        <f>IFERROR(ROUND(AB357/(R357/1000),3),"")</f>
        <v/>
      </c>
    </row>
    <row r="358">
      <c r="AB358" s="6">
        <f>MAX(0,ROUND(T358*0.2+U358*0.2+V358*0.15+W358*0.15+X358*0.1+Z358*0.1+AA358*0.1-Y358,3))</f>
        <v/>
      </c>
      <c r="AC358" s="6">
        <f>IFERROR(ROUND(AB358/(S358+0.0001),3),"")</f>
        <v/>
      </c>
      <c r="AD358" s="6">
        <f>IFERROR(ROUND(AB358/(R358/1000),3),"")</f>
        <v/>
      </c>
    </row>
    <row r="359">
      <c r="AB359" s="6">
        <f>MAX(0,ROUND(T359*0.2+U359*0.2+V359*0.15+W359*0.15+X359*0.1+Z359*0.1+AA359*0.1-Y359,3))</f>
        <v/>
      </c>
      <c r="AC359" s="6">
        <f>IFERROR(ROUND(AB359/(S359+0.0001),3),"")</f>
        <v/>
      </c>
      <c r="AD359" s="6">
        <f>IFERROR(ROUND(AB359/(R359/1000),3),"")</f>
        <v/>
      </c>
    </row>
    <row r="360">
      <c r="AB360" s="6">
        <f>MAX(0,ROUND(T360*0.2+U360*0.2+V360*0.15+W360*0.15+X360*0.1+Z360*0.1+AA360*0.1-Y360,3))</f>
        <v/>
      </c>
      <c r="AC360" s="6">
        <f>IFERROR(ROUND(AB360/(S360+0.0001),3),"")</f>
        <v/>
      </c>
      <c r="AD360" s="6">
        <f>IFERROR(ROUND(AB360/(R360/1000),3),"")</f>
        <v/>
      </c>
    </row>
    <row r="361">
      <c r="AB361" s="6">
        <f>MAX(0,ROUND(T361*0.2+U361*0.2+V361*0.15+W361*0.15+X361*0.1+Z361*0.1+AA361*0.1-Y361,3))</f>
        <v/>
      </c>
      <c r="AC361" s="6">
        <f>IFERROR(ROUND(AB361/(S361+0.0001),3),"")</f>
        <v/>
      </c>
      <c r="AD361" s="6">
        <f>IFERROR(ROUND(AB361/(R361/1000),3),"")</f>
        <v/>
      </c>
    </row>
    <row r="362">
      <c r="AB362" s="6">
        <f>MAX(0,ROUND(T362*0.2+U362*0.2+V362*0.15+W362*0.15+X362*0.1+Z362*0.1+AA362*0.1-Y362,3))</f>
        <v/>
      </c>
      <c r="AC362" s="6">
        <f>IFERROR(ROUND(AB362/(S362+0.0001),3),"")</f>
        <v/>
      </c>
      <c r="AD362" s="6">
        <f>IFERROR(ROUND(AB362/(R362/1000),3),"")</f>
        <v/>
      </c>
    </row>
    <row r="363">
      <c r="AB363" s="6">
        <f>MAX(0,ROUND(T363*0.2+U363*0.2+V363*0.15+W363*0.15+X363*0.1+Z363*0.1+AA363*0.1-Y363,3))</f>
        <v/>
      </c>
      <c r="AC363" s="6">
        <f>IFERROR(ROUND(AB363/(S363+0.0001),3),"")</f>
        <v/>
      </c>
      <c r="AD363" s="6">
        <f>IFERROR(ROUND(AB363/(R363/1000),3),"")</f>
        <v/>
      </c>
    </row>
    <row r="364">
      <c r="AB364" s="6">
        <f>MAX(0,ROUND(T364*0.2+U364*0.2+V364*0.15+W364*0.15+X364*0.1+Z364*0.1+AA364*0.1-Y364,3))</f>
        <v/>
      </c>
      <c r="AC364" s="6">
        <f>IFERROR(ROUND(AB364/(S364+0.0001),3),"")</f>
        <v/>
      </c>
      <c r="AD364" s="6">
        <f>IFERROR(ROUND(AB364/(R364/1000),3),"")</f>
        <v/>
      </c>
    </row>
    <row r="365">
      <c r="AB365" s="6">
        <f>MAX(0,ROUND(T365*0.2+U365*0.2+V365*0.15+W365*0.15+X365*0.1+Z365*0.1+AA365*0.1-Y365,3))</f>
        <v/>
      </c>
      <c r="AC365" s="6">
        <f>IFERROR(ROUND(AB365/(S365+0.0001),3),"")</f>
        <v/>
      </c>
      <c r="AD365" s="6">
        <f>IFERROR(ROUND(AB365/(R365/1000),3),"")</f>
        <v/>
      </c>
    </row>
    <row r="366">
      <c r="AB366" s="6">
        <f>MAX(0,ROUND(T366*0.2+U366*0.2+V366*0.15+W366*0.15+X366*0.1+Z366*0.1+AA366*0.1-Y366,3))</f>
        <v/>
      </c>
      <c r="AC366" s="6">
        <f>IFERROR(ROUND(AB366/(S366+0.0001),3),"")</f>
        <v/>
      </c>
      <c r="AD366" s="6">
        <f>IFERROR(ROUND(AB366/(R366/1000),3),"")</f>
        <v/>
      </c>
    </row>
    <row r="367">
      <c r="AB367" s="6">
        <f>MAX(0,ROUND(T367*0.2+U367*0.2+V367*0.15+W367*0.15+X367*0.1+Z367*0.1+AA367*0.1-Y367,3))</f>
        <v/>
      </c>
      <c r="AC367" s="6">
        <f>IFERROR(ROUND(AB367/(S367+0.0001),3),"")</f>
        <v/>
      </c>
      <c r="AD367" s="6">
        <f>IFERROR(ROUND(AB367/(R367/1000),3),"")</f>
        <v/>
      </c>
    </row>
    <row r="368">
      <c r="AB368" s="6">
        <f>MAX(0,ROUND(T368*0.2+U368*0.2+V368*0.15+W368*0.15+X368*0.1+Z368*0.1+AA368*0.1-Y368,3))</f>
        <v/>
      </c>
      <c r="AC368" s="6">
        <f>IFERROR(ROUND(AB368/(S368+0.0001),3),"")</f>
        <v/>
      </c>
      <c r="AD368" s="6">
        <f>IFERROR(ROUND(AB368/(R368/1000),3),"")</f>
        <v/>
      </c>
    </row>
    <row r="369">
      <c r="AB369" s="6">
        <f>MAX(0,ROUND(T369*0.2+U369*0.2+V369*0.15+W369*0.15+X369*0.1+Z369*0.1+AA369*0.1-Y369,3))</f>
        <v/>
      </c>
      <c r="AC369" s="6">
        <f>IFERROR(ROUND(AB369/(S369+0.0001),3),"")</f>
        <v/>
      </c>
      <c r="AD369" s="6">
        <f>IFERROR(ROUND(AB369/(R369/1000),3),"")</f>
        <v/>
      </c>
    </row>
    <row r="370">
      <c r="AB370" s="6">
        <f>MAX(0,ROUND(T370*0.2+U370*0.2+V370*0.15+W370*0.15+X370*0.1+Z370*0.1+AA370*0.1-Y370,3))</f>
        <v/>
      </c>
      <c r="AC370" s="6">
        <f>IFERROR(ROUND(AB370/(S370+0.0001),3),"")</f>
        <v/>
      </c>
      <c r="AD370" s="6">
        <f>IFERROR(ROUND(AB370/(R370/1000),3),"")</f>
        <v/>
      </c>
    </row>
    <row r="371">
      <c r="AB371" s="6">
        <f>MAX(0,ROUND(T371*0.2+U371*0.2+V371*0.15+W371*0.15+X371*0.1+Z371*0.1+AA371*0.1-Y371,3))</f>
        <v/>
      </c>
      <c r="AC371" s="6">
        <f>IFERROR(ROUND(AB371/(S371+0.0001),3),"")</f>
        <v/>
      </c>
      <c r="AD371" s="6">
        <f>IFERROR(ROUND(AB371/(R371/1000),3),"")</f>
        <v/>
      </c>
    </row>
    <row r="372">
      <c r="AB372" s="6">
        <f>MAX(0,ROUND(T372*0.2+U372*0.2+V372*0.15+W372*0.15+X372*0.1+Z372*0.1+AA372*0.1-Y372,3))</f>
        <v/>
      </c>
      <c r="AC372" s="6">
        <f>IFERROR(ROUND(AB372/(S372+0.0001),3),"")</f>
        <v/>
      </c>
      <c r="AD372" s="6">
        <f>IFERROR(ROUND(AB372/(R372/1000),3),"")</f>
        <v/>
      </c>
    </row>
    <row r="373">
      <c r="AB373" s="6">
        <f>MAX(0,ROUND(T373*0.2+U373*0.2+V373*0.15+W373*0.15+X373*0.1+Z373*0.1+AA373*0.1-Y373,3))</f>
        <v/>
      </c>
      <c r="AC373" s="6">
        <f>IFERROR(ROUND(AB373/(S373+0.0001),3),"")</f>
        <v/>
      </c>
      <c r="AD373" s="6">
        <f>IFERROR(ROUND(AB373/(R373/1000),3),"")</f>
        <v/>
      </c>
    </row>
    <row r="374">
      <c r="AB374" s="6">
        <f>MAX(0,ROUND(T374*0.2+U374*0.2+V374*0.15+W374*0.15+X374*0.1+Z374*0.1+AA374*0.1-Y374,3))</f>
        <v/>
      </c>
      <c r="AC374" s="6">
        <f>IFERROR(ROUND(AB374/(S374+0.0001),3),"")</f>
        <v/>
      </c>
      <c r="AD374" s="6">
        <f>IFERROR(ROUND(AB374/(R374/1000),3),"")</f>
        <v/>
      </c>
    </row>
    <row r="375">
      <c r="AB375" s="6">
        <f>MAX(0,ROUND(T375*0.2+U375*0.2+V375*0.15+W375*0.15+X375*0.1+Z375*0.1+AA375*0.1-Y375,3))</f>
        <v/>
      </c>
      <c r="AC375" s="6">
        <f>IFERROR(ROUND(AB375/(S375+0.0001),3),"")</f>
        <v/>
      </c>
      <c r="AD375" s="6">
        <f>IFERROR(ROUND(AB375/(R375/1000),3),"")</f>
        <v/>
      </c>
    </row>
    <row r="376">
      <c r="AB376" s="6">
        <f>MAX(0,ROUND(T376*0.2+U376*0.2+V376*0.15+W376*0.15+X376*0.1+Z376*0.1+AA376*0.1-Y376,3))</f>
        <v/>
      </c>
      <c r="AC376" s="6">
        <f>IFERROR(ROUND(AB376/(S376+0.0001),3),"")</f>
        <v/>
      </c>
      <c r="AD376" s="6">
        <f>IFERROR(ROUND(AB376/(R376/1000),3),"")</f>
        <v/>
      </c>
    </row>
    <row r="377">
      <c r="AB377" s="6">
        <f>MAX(0,ROUND(T377*0.2+U377*0.2+V377*0.15+W377*0.15+X377*0.1+Z377*0.1+AA377*0.1-Y377,3))</f>
        <v/>
      </c>
      <c r="AC377" s="6">
        <f>IFERROR(ROUND(AB377/(S377+0.0001),3),"")</f>
        <v/>
      </c>
      <c r="AD377" s="6">
        <f>IFERROR(ROUND(AB377/(R377/1000),3),"")</f>
        <v/>
      </c>
    </row>
    <row r="378">
      <c r="AB378" s="6">
        <f>MAX(0,ROUND(T378*0.2+U378*0.2+V378*0.15+W378*0.15+X378*0.1+Z378*0.1+AA378*0.1-Y378,3))</f>
        <v/>
      </c>
      <c r="AC378" s="6">
        <f>IFERROR(ROUND(AB378/(S378+0.0001),3),"")</f>
        <v/>
      </c>
      <c r="AD378" s="6">
        <f>IFERROR(ROUND(AB378/(R378/1000),3),"")</f>
        <v/>
      </c>
    </row>
    <row r="379">
      <c r="AB379" s="6">
        <f>MAX(0,ROUND(T379*0.2+U379*0.2+V379*0.15+W379*0.15+X379*0.1+Z379*0.1+AA379*0.1-Y379,3))</f>
        <v/>
      </c>
      <c r="AC379" s="6">
        <f>IFERROR(ROUND(AB379/(S379+0.0001),3),"")</f>
        <v/>
      </c>
      <c r="AD379" s="6">
        <f>IFERROR(ROUND(AB379/(R379/1000),3),"")</f>
        <v/>
      </c>
    </row>
    <row r="380">
      <c r="AB380" s="6">
        <f>MAX(0,ROUND(T380*0.2+U380*0.2+V380*0.15+W380*0.15+X380*0.1+Z380*0.1+AA380*0.1-Y380,3))</f>
        <v/>
      </c>
      <c r="AC380" s="6">
        <f>IFERROR(ROUND(AB380/(S380+0.0001),3),"")</f>
        <v/>
      </c>
      <c r="AD380" s="6">
        <f>IFERROR(ROUND(AB380/(R380/1000),3),"")</f>
        <v/>
      </c>
    </row>
    <row r="381">
      <c r="AB381" s="6">
        <f>MAX(0,ROUND(T381*0.2+U381*0.2+V381*0.15+W381*0.15+X381*0.1+Z381*0.1+AA381*0.1-Y381,3))</f>
        <v/>
      </c>
      <c r="AC381" s="6">
        <f>IFERROR(ROUND(AB381/(S381+0.0001),3),"")</f>
        <v/>
      </c>
      <c r="AD381" s="6">
        <f>IFERROR(ROUND(AB381/(R381/1000),3),"")</f>
        <v/>
      </c>
    </row>
    <row r="382">
      <c r="AB382" s="6">
        <f>MAX(0,ROUND(T382*0.2+U382*0.2+V382*0.15+W382*0.15+X382*0.1+Z382*0.1+AA382*0.1-Y382,3))</f>
        <v/>
      </c>
      <c r="AC382" s="6">
        <f>IFERROR(ROUND(AB382/(S382+0.0001),3),"")</f>
        <v/>
      </c>
      <c r="AD382" s="6">
        <f>IFERROR(ROUND(AB382/(R382/1000),3),"")</f>
        <v/>
      </c>
    </row>
    <row r="383">
      <c r="AB383" s="6">
        <f>MAX(0,ROUND(T383*0.2+U383*0.2+V383*0.15+W383*0.15+X383*0.1+Z383*0.1+AA383*0.1-Y383,3))</f>
        <v/>
      </c>
      <c r="AC383" s="6">
        <f>IFERROR(ROUND(AB383/(S383+0.0001),3),"")</f>
        <v/>
      </c>
      <c r="AD383" s="6">
        <f>IFERROR(ROUND(AB383/(R383/1000),3),"")</f>
        <v/>
      </c>
    </row>
    <row r="384">
      <c r="AB384" s="6">
        <f>MAX(0,ROUND(T384*0.2+U384*0.2+V384*0.15+W384*0.15+X384*0.1+Z384*0.1+AA384*0.1-Y384,3))</f>
        <v/>
      </c>
      <c r="AC384" s="6">
        <f>IFERROR(ROUND(AB384/(S384+0.0001),3),"")</f>
        <v/>
      </c>
      <c r="AD384" s="6">
        <f>IFERROR(ROUND(AB384/(R384/1000),3),"")</f>
        <v/>
      </c>
    </row>
    <row r="385">
      <c r="AB385" s="6">
        <f>MAX(0,ROUND(T385*0.2+U385*0.2+V385*0.15+W385*0.15+X385*0.1+Z385*0.1+AA385*0.1-Y385,3))</f>
        <v/>
      </c>
      <c r="AC385" s="6">
        <f>IFERROR(ROUND(AB385/(S385+0.0001),3),"")</f>
        <v/>
      </c>
      <c r="AD385" s="6">
        <f>IFERROR(ROUND(AB385/(R385/1000),3),"")</f>
        <v/>
      </c>
    </row>
    <row r="386">
      <c r="AB386" s="6">
        <f>MAX(0,ROUND(T386*0.2+U386*0.2+V386*0.15+W386*0.15+X386*0.1+Z386*0.1+AA386*0.1-Y386,3))</f>
        <v/>
      </c>
      <c r="AC386" s="6">
        <f>IFERROR(ROUND(AB386/(S386+0.0001),3),"")</f>
        <v/>
      </c>
      <c r="AD386" s="6">
        <f>IFERROR(ROUND(AB386/(R386/1000),3),"")</f>
        <v/>
      </c>
    </row>
    <row r="387">
      <c r="AB387" s="6">
        <f>MAX(0,ROUND(T387*0.2+U387*0.2+V387*0.15+W387*0.15+X387*0.1+Z387*0.1+AA387*0.1-Y387,3))</f>
        <v/>
      </c>
      <c r="AC387" s="6">
        <f>IFERROR(ROUND(AB387/(S387+0.0001),3),"")</f>
        <v/>
      </c>
      <c r="AD387" s="6">
        <f>IFERROR(ROUND(AB387/(R387/1000),3),"")</f>
        <v/>
      </c>
    </row>
    <row r="388">
      <c r="AB388" s="6">
        <f>MAX(0,ROUND(T388*0.2+U388*0.2+V388*0.15+W388*0.15+X388*0.1+Z388*0.1+AA388*0.1-Y388,3))</f>
        <v/>
      </c>
      <c r="AC388" s="6">
        <f>IFERROR(ROUND(AB388/(S388+0.0001),3),"")</f>
        <v/>
      </c>
      <c r="AD388" s="6">
        <f>IFERROR(ROUND(AB388/(R388/1000),3),"")</f>
        <v/>
      </c>
    </row>
    <row r="389">
      <c r="AB389" s="6">
        <f>MAX(0,ROUND(T389*0.2+U389*0.2+V389*0.15+W389*0.15+X389*0.1+Z389*0.1+AA389*0.1-Y389,3))</f>
        <v/>
      </c>
      <c r="AC389" s="6">
        <f>IFERROR(ROUND(AB389/(S389+0.0001),3),"")</f>
        <v/>
      </c>
      <c r="AD389" s="6">
        <f>IFERROR(ROUND(AB389/(R389/1000),3),"")</f>
        <v/>
      </c>
    </row>
    <row r="390">
      <c r="AB390" s="6">
        <f>MAX(0,ROUND(T390*0.2+U390*0.2+V390*0.15+W390*0.15+X390*0.1+Z390*0.1+AA390*0.1-Y390,3))</f>
        <v/>
      </c>
      <c r="AC390" s="6">
        <f>IFERROR(ROUND(AB390/(S390+0.0001),3),"")</f>
        <v/>
      </c>
      <c r="AD390" s="6">
        <f>IFERROR(ROUND(AB390/(R390/1000),3),"")</f>
        <v/>
      </c>
    </row>
    <row r="391">
      <c r="AB391" s="6">
        <f>MAX(0,ROUND(T391*0.2+U391*0.2+V391*0.15+W391*0.15+X391*0.1+Z391*0.1+AA391*0.1-Y391,3))</f>
        <v/>
      </c>
      <c r="AC391" s="6">
        <f>IFERROR(ROUND(AB391/(S391+0.0001),3),"")</f>
        <v/>
      </c>
      <c r="AD391" s="6">
        <f>IFERROR(ROUND(AB391/(R391/1000),3),"")</f>
        <v/>
      </c>
    </row>
    <row r="392">
      <c r="AB392" s="6">
        <f>MAX(0,ROUND(T392*0.2+U392*0.2+V392*0.15+W392*0.15+X392*0.1+Z392*0.1+AA392*0.1-Y392,3))</f>
        <v/>
      </c>
      <c r="AC392" s="6">
        <f>IFERROR(ROUND(AB392/(S392+0.0001),3),"")</f>
        <v/>
      </c>
      <c r="AD392" s="6">
        <f>IFERROR(ROUND(AB392/(R392/1000),3),"")</f>
        <v/>
      </c>
    </row>
    <row r="393">
      <c r="AB393" s="6">
        <f>MAX(0,ROUND(T393*0.2+U393*0.2+V393*0.15+W393*0.15+X393*0.1+Z393*0.1+AA393*0.1-Y393,3))</f>
        <v/>
      </c>
      <c r="AC393" s="6">
        <f>IFERROR(ROUND(AB393/(S393+0.0001),3),"")</f>
        <v/>
      </c>
      <c r="AD393" s="6">
        <f>IFERROR(ROUND(AB393/(R393/1000),3),"")</f>
        <v/>
      </c>
    </row>
    <row r="394">
      <c r="AB394" s="6">
        <f>MAX(0,ROUND(T394*0.2+U394*0.2+V394*0.15+W394*0.15+X394*0.1+Z394*0.1+AA394*0.1-Y394,3))</f>
        <v/>
      </c>
      <c r="AC394" s="6">
        <f>IFERROR(ROUND(AB394/(S394+0.0001),3),"")</f>
        <v/>
      </c>
      <c r="AD394" s="6">
        <f>IFERROR(ROUND(AB394/(R394/1000),3),"")</f>
        <v/>
      </c>
    </row>
    <row r="395">
      <c r="AB395" s="6">
        <f>MAX(0,ROUND(T395*0.2+U395*0.2+V395*0.15+W395*0.15+X395*0.1+Z395*0.1+AA395*0.1-Y395,3))</f>
        <v/>
      </c>
      <c r="AC395" s="6">
        <f>IFERROR(ROUND(AB395/(S395+0.0001),3),"")</f>
        <v/>
      </c>
      <c r="AD395" s="6">
        <f>IFERROR(ROUND(AB395/(R395/1000),3),"")</f>
        <v/>
      </c>
    </row>
    <row r="396">
      <c r="AB396" s="6">
        <f>MAX(0,ROUND(T396*0.2+U396*0.2+V396*0.15+W396*0.15+X396*0.1+Z396*0.1+AA396*0.1-Y396,3))</f>
        <v/>
      </c>
      <c r="AC396" s="6">
        <f>IFERROR(ROUND(AB396/(S396+0.0001),3),"")</f>
        <v/>
      </c>
      <c r="AD396" s="6">
        <f>IFERROR(ROUND(AB396/(R396/1000),3),"")</f>
        <v/>
      </c>
    </row>
    <row r="397">
      <c r="AB397" s="6">
        <f>MAX(0,ROUND(T397*0.2+U397*0.2+V397*0.15+W397*0.15+X397*0.1+Z397*0.1+AA397*0.1-Y397,3))</f>
        <v/>
      </c>
      <c r="AC397" s="6">
        <f>IFERROR(ROUND(AB397/(S397+0.0001),3),"")</f>
        <v/>
      </c>
      <c r="AD397" s="6">
        <f>IFERROR(ROUND(AB397/(R397/1000),3),"")</f>
        <v/>
      </c>
    </row>
    <row r="398">
      <c r="AB398" s="6">
        <f>MAX(0,ROUND(T398*0.2+U398*0.2+V398*0.15+W398*0.15+X398*0.1+Z398*0.1+AA398*0.1-Y398,3))</f>
        <v/>
      </c>
      <c r="AC398" s="6">
        <f>IFERROR(ROUND(AB398/(S398+0.0001),3),"")</f>
        <v/>
      </c>
      <c r="AD398" s="6">
        <f>IFERROR(ROUND(AB398/(R398/1000),3),"")</f>
        <v/>
      </c>
    </row>
    <row r="399">
      <c r="AB399" s="6">
        <f>MAX(0,ROUND(T399*0.2+U399*0.2+V399*0.15+W399*0.15+X399*0.1+Z399*0.1+AA399*0.1-Y399,3))</f>
        <v/>
      </c>
      <c r="AC399" s="6">
        <f>IFERROR(ROUND(AB399/(S399+0.0001),3),"")</f>
        <v/>
      </c>
      <c r="AD399" s="6">
        <f>IFERROR(ROUND(AB399/(R399/1000),3),"")</f>
        <v/>
      </c>
    </row>
    <row r="400">
      <c r="AB400" s="6">
        <f>MAX(0,ROUND(T400*0.2+U400*0.2+V400*0.15+W400*0.15+X400*0.1+Z400*0.1+AA400*0.1-Y400,3))</f>
        <v/>
      </c>
      <c r="AC400" s="6">
        <f>IFERROR(ROUND(AB400/(S400+0.0001),3),"")</f>
        <v/>
      </c>
      <c r="AD400" s="6">
        <f>IFERROR(ROUND(AB400/(R400/1000),3),"")</f>
        <v/>
      </c>
    </row>
    <row r="401">
      <c r="AB401" s="6">
        <f>MAX(0,ROUND(T401*0.2+U401*0.2+V401*0.15+W401*0.15+X401*0.1+Z401*0.1+AA401*0.1-Y401,3))</f>
        <v/>
      </c>
      <c r="AC401" s="6">
        <f>IFERROR(ROUND(AB401/(S401+0.0001),3),"")</f>
        <v/>
      </c>
      <c r="AD401" s="6">
        <f>IFERROR(ROUND(AB401/(R401/1000),3),"")</f>
        <v/>
      </c>
    </row>
    <row r="402">
      <c r="AB402" s="6">
        <f>MAX(0,ROUND(T402*0.2+U402*0.2+V402*0.15+W402*0.15+X402*0.1+Z402*0.1+AA402*0.1-Y402,3))</f>
        <v/>
      </c>
      <c r="AC402" s="6">
        <f>IFERROR(ROUND(AB402/(S402+0.0001),3),"")</f>
        <v/>
      </c>
      <c r="AD402" s="6">
        <f>IFERROR(ROUND(AB402/(R402/1000),3),"")</f>
        <v/>
      </c>
    </row>
    <row r="403">
      <c r="AB403" s="6">
        <f>MAX(0,ROUND(T403*0.2+U403*0.2+V403*0.15+W403*0.15+X403*0.1+Z403*0.1+AA403*0.1-Y403,3))</f>
        <v/>
      </c>
      <c r="AC403" s="6">
        <f>IFERROR(ROUND(AB403/(S403+0.0001),3),"")</f>
        <v/>
      </c>
      <c r="AD403" s="6">
        <f>IFERROR(ROUND(AB403/(R403/1000),3),"")</f>
        <v/>
      </c>
    </row>
    <row r="404">
      <c r="AB404" s="6">
        <f>MAX(0,ROUND(T404*0.2+U404*0.2+V404*0.15+W404*0.15+X404*0.1+Z404*0.1+AA404*0.1-Y404,3))</f>
        <v/>
      </c>
      <c r="AC404" s="6">
        <f>IFERROR(ROUND(AB404/(S404+0.0001),3),"")</f>
        <v/>
      </c>
      <c r="AD404" s="6">
        <f>IFERROR(ROUND(AB404/(R404/1000),3),"")</f>
        <v/>
      </c>
    </row>
    <row r="405">
      <c r="AB405" s="6">
        <f>MAX(0,ROUND(T405*0.2+U405*0.2+V405*0.15+W405*0.15+X405*0.1+Z405*0.1+AA405*0.1-Y405,3))</f>
        <v/>
      </c>
      <c r="AC405" s="6">
        <f>IFERROR(ROUND(AB405/(S405+0.0001),3),"")</f>
        <v/>
      </c>
      <c r="AD405" s="6">
        <f>IFERROR(ROUND(AB405/(R405/1000),3),"")</f>
        <v/>
      </c>
    </row>
    <row r="406">
      <c r="AB406" s="6">
        <f>MAX(0,ROUND(T406*0.2+U406*0.2+V406*0.15+W406*0.15+X406*0.1+Z406*0.1+AA406*0.1-Y406,3))</f>
        <v/>
      </c>
      <c r="AC406" s="6">
        <f>IFERROR(ROUND(AB406/(S406+0.0001),3),"")</f>
        <v/>
      </c>
      <c r="AD406" s="6">
        <f>IFERROR(ROUND(AB406/(R406/1000),3),"")</f>
        <v/>
      </c>
    </row>
    <row r="407">
      <c r="AB407" s="6">
        <f>MAX(0,ROUND(T407*0.2+U407*0.2+V407*0.15+W407*0.15+X407*0.1+Z407*0.1+AA407*0.1-Y407,3))</f>
        <v/>
      </c>
      <c r="AC407" s="6">
        <f>IFERROR(ROUND(AB407/(S407+0.0001),3),"")</f>
        <v/>
      </c>
      <c r="AD407" s="6">
        <f>IFERROR(ROUND(AB407/(R407/1000),3),"")</f>
        <v/>
      </c>
    </row>
    <row r="408">
      <c r="AB408" s="6">
        <f>MAX(0,ROUND(T408*0.2+U408*0.2+V408*0.15+W408*0.15+X408*0.1+Z408*0.1+AA408*0.1-Y408,3))</f>
        <v/>
      </c>
      <c r="AC408" s="6">
        <f>IFERROR(ROUND(AB408/(S408+0.0001),3),"")</f>
        <v/>
      </c>
      <c r="AD408" s="6">
        <f>IFERROR(ROUND(AB408/(R408/1000),3),"")</f>
        <v/>
      </c>
    </row>
    <row r="409">
      <c r="AB409" s="6">
        <f>MAX(0,ROUND(T409*0.2+U409*0.2+V409*0.15+W409*0.15+X409*0.1+Z409*0.1+AA409*0.1-Y409,3))</f>
        <v/>
      </c>
      <c r="AC409" s="6">
        <f>IFERROR(ROUND(AB409/(S409+0.0001),3),"")</f>
        <v/>
      </c>
      <c r="AD409" s="6">
        <f>IFERROR(ROUND(AB409/(R409/1000),3),"")</f>
        <v/>
      </c>
    </row>
    <row r="410">
      <c r="AB410" s="6">
        <f>MAX(0,ROUND(T410*0.2+U410*0.2+V410*0.15+W410*0.15+X410*0.1+Z410*0.1+AA410*0.1-Y410,3))</f>
        <v/>
      </c>
      <c r="AC410" s="6">
        <f>IFERROR(ROUND(AB410/(S410+0.0001),3),"")</f>
        <v/>
      </c>
      <c r="AD410" s="6">
        <f>IFERROR(ROUND(AB410/(R410/1000),3),"")</f>
        <v/>
      </c>
    </row>
    <row r="411">
      <c r="AB411" s="6">
        <f>MAX(0,ROUND(T411*0.2+U411*0.2+V411*0.15+W411*0.15+X411*0.1+Z411*0.1+AA411*0.1-Y411,3))</f>
        <v/>
      </c>
      <c r="AC411" s="6">
        <f>IFERROR(ROUND(AB411/(S411+0.0001),3),"")</f>
        <v/>
      </c>
      <c r="AD411" s="6">
        <f>IFERROR(ROUND(AB411/(R411/1000),3),"")</f>
        <v/>
      </c>
    </row>
    <row r="412">
      <c r="AB412" s="6">
        <f>MAX(0,ROUND(T412*0.2+U412*0.2+V412*0.15+W412*0.15+X412*0.1+Z412*0.1+AA412*0.1-Y412,3))</f>
        <v/>
      </c>
      <c r="AC412" s="6">
        <f>IFERROR(ROUND(AB412/(S412+0.0001),3),"")</f>
        <v/>
      </c>
      <c r="AD412" s="6">
        <f>IFERROR(ROUND(AB412/(R412/1000),3),"")</f>
        <v/>
      </c>
    </row>
    <row r="413">
      <c r="AB413" s="6">
        <f>MAX(0,ROUND(T413*0.2+U413*0.2+V413*0.15+W413*0.15+X413*0.1+Z413*0.1+AA413*0.1-Y413,3))</f>
        <v/>
      </c>
      <c r="AC413" s="6">
        <f>IFERROR(ROUND(AB413/(S413+0.0001),3),"")</f>
        <v/>
      </c>
      <c r="AD413" s="6">
        <f>IFERROR(ROUND(AB413/(R413/1000),3),"")</f>
        <v/>
      </c>
    </row>
    <row r="414">
      <c r="AB414" s="6">
        <f>MAX(0,ROUND(T414*0.2+U414*0.2+V414*0.15+W414*0.15+X414*0.1+Z414*0.1+AA414*0.1-Y414,3))</f>
        <v/>
      </c>
      <c r="AC414" s="6">
        <f>IFERROR(ROUND(AB414/(S414+0.0001),3),"")</f>
        <v/>
      </c>
      <c r="AD414" s="6">
        <f>IFERROR(ROUND(AB414/(R414/1000),3),"")</f>
        <v/>
      </c>
    </row>
    <row r="415">
      <c r="AB415" s="6">
        <f>MAX(0,ROUND(T415*0.2+U415*0.2+V415*0.15+W415*0.15+X415*0.1+Z415*0.1+AA415*0.1-Y415,3))</f>
        <v/>
      </c>
      <c r="AC415" s="6">
        <f>IFERROR(ROUND(AB415/(S415+0.0001),3),"")</f>
        <v/>
      </c>
      <c r="AD415" s="6">
        <f>IFERROR(ROUND(AB415/(R415/1000),3),"")</f>
        <v/>
      </c>
    </row>
    <row r="416">
      <c r="AB416" s="6">
        <f>MAX(0,ROUND(T416*0.2+U416*0.2+V416*0.15+W416*0.15+X416*0.1+Z416*0.1+AA416*0.1-Y416,3))</f>
        <v/>
      </c>
      <c r="AC416" s="6">
        <f>IFERROR(ROUND(AB416/(S416+0.0001),3),"")</f>
        <v/>
      </c>
      <c r="AD416" s="6">
        <f>IFERROR(ROUND(AB416/(R416/1000),3),"")</f>
        <v/>
      </c>
    </row>
    <row r="417">
      <c r="AB417" s="6">
        <f>MAX(0,ROUND(T417*0.2+U417*0.2+V417*0.15+W417*0.15+X417*0.1+Z417*0.1+AA417*0.1-Y417,3))</f>
        <v/>
      </c>
      <c r="AC417" s="6">
        <f>IFERROR(ROUND(AB417/(S417+0.0001),3),"")</f>
        <v/>
      </c>
      <c r="AD417" s="6">
        <f>IFERROR(ROUND(AB417/(R417/1000),3),"")</f>
        <v/>
      </c>
    </row>
    <row r="418">
      <c r="AB418" s="6">
        <f>MAX(0,ROUND(T418*0.2+U418*0.2+V418*0.15+W418*0.15+X418*0.1+Z418*0.1+AA418*0.1-Y418,3))</f>
        <v/>
      </c>
      <c r="AC418" s="6">
        <f>IFERROR(ROUND(AB418/(S418+0.0001),3),"")</f>
        <v/>
      </c>
      <c r="AD418" s="6">
        <f>IFERROR(ROUND(AB418/(R418/1000),3),"")</f>
        <v/>
      </c>
    </row>
    <row r="419">
      <c r="AB419" s="6">
        <f>MAX(0,ROUND(T419*0.2+U419*0.2+V419*0.15+W419*0.15+X419*0.1+Z419*0.1+AA419*0.1-Y419,3))</f>
        <v/>
      </c>
      <c r="AC419" s="6">
        <f>IFERROR(ROUND(AB419/(S419+0.0001),3),"")</f>
        <v/>
      </c>
      <c r="AD419" s="6">
        <f>IFERROR(ROUND(AB419/(R419/1000),3),"")</f>
        <v/>
      </c>
    </row>
    <row r="420">
      <c r="AB420" s="6">
        <f>MAX(0,ROUND(T420*0.2+U420*0.2+V420*0.15+W420*0.15+X420*0.1+Z420*0.1+AA420*0.1-Y420,3))</f>
        <v/>
      </c>
      <c r="AC420" s="6">
        <f>IFERROR(ROUND(AB420/(S420+0.0001),3),"")</f>
        <v/>
      </c>
      <c r="AD420" s="6">
        <f>IFERROR(ROUND(AB420/(R420/1000),3),"")</f>
        <v/>
      </c>
    </row>
    <row r="421">
      <c r="AB421" s="6">
        <f>MAX(0,ROUND(T421*0.2+U421*0.2+V421*0.15+W421*0.15+X421*0.1+Z421*0.1+AA421*0.1-Y421,3))</f>
        <v/>
      </c>
      <c r="AC421" s="6">
        <f>IFERROR(ROUND(AB421/(S421+0.0001),3),"")</f>
        <v/>
      </c>
      <c r="AD421" s="6">
        <f>IFERROR(ROUND(AB421/(R421/1000),3),"")</f>
        <v/>
      </c>
    </row>
    <row r="422">
      <c r="AB422" s="6">
        <f>MAX(0,ROUND(T422*0.2+U422*0.2+V422*0.15+W422*0.15+X422*0.1+Z422*0.1+AA422*0.1-Y422,3))</f>
        <v/>
      </c>
      <c r="AC422" s="6">
        <f>IFERROR(ROUND(AB422/(S422+0.0001),3),"")</f>
        <v/>
      </c>
      <c r="AD422" s="6">
        <f>IFERROR(ROUND(AB422/(R422/1000),3),"")</f>
        <v/>
      </c>
    </row>
    <row r="423">
      <c r="AB423" s="6">
        <f>MAX(0,ROUND(T423*0.2+U423*0.2+V423*0.15+W423*0.15+X423*0.1+Z423*0.1+AA423*0.1-Y423,3))</f>
        <v/>
      </c>
      <c r="AC423" s="6">
        <f>IFERROR(ROUND(AB423/(S423+0.0001),3),"")</f>
        <v/>
      </c>
      <c r="AD423" s="6">
        <f>IFERROR(ROUND(AB423/(R423/1000),3),"")</f>
        <v/>
      </c>
    </row>
    <row r="424">
      <c r="AB424" s="6">
        <f>MAX(0,ROUND(T424*0.2+U424*0.2+V424*0.15+W424*0.15+X424*0.1+Z424*0.1+AA424*0.1-Y424,3))</f>
        <v/>
      </c>
      <c r="AC424" s="6">
        <f>IFERROR(ROUND(AB424/(S424+0.0001),3),"")</f>
        <v/>
      </c>
      <c r="AD424" s="6">
        <f>IFERROR(ROUND(AB424/(R424/1000),3),"")</f>
        <v/>
      </c>
    </row>
    <row r="425">
      <c r="AB425" s="6">
        <f>MAX(0,ROUND(T425*0.2+U425*0.2+V425*0.15+W425*0.15+X425*0.1+Z425*0.1+AA425*0.1-Y425,3))</f>
        <v/>
      </c>
      <c r="AC425" s="6">
        <f>IFERROR(ROUND(AB425/(S425+0.0001),3),"")</f>
        <v/>
      </c>
      <c r="AD425" s="6">
        <f>IFERROR(ROUND(AB425/(R425/1000),3),"")</f>
        <v/>
      </c>
    </row>
    <row r="426">
      <c r="AB426" s="6">
        <f>MAX(0,ROUND(T426*0.2+U426*0.2+V426*0.15+W426*0.15+X426*0.1+Z426*0.1+AA426*0.1-Y426,3))</f>
        <v/>
      </c>
      <c r="AC426" s="6">
        <f>IFERROR(ROUND(AB426/(S426+0.0001),3),"")</f>
        <v/>
      </c>
      <c r="AD426" s="6">
        <f>IFERROR(ROUND(AB426/(R426/1000),3),"")</f>
        <v/>
      </c>
    </row>
    <row r="427">
      <c r="AB427" s="6">
        <f>MAX(0,ROUND(T427*0.2+U427*0.2+V427*0.15+W427*0.15+X427*0.1+Z427*0.1+AA427*0.1-Y427,3))</f>
        <v/>
      </c>
      <c r="AC427" s="6">
        <f>IFERROR(ROUND(AB427/(S427+0.0001),3),"")</f>
        <v/>
      </c>
      <c r="AD427" s="6">
        <f>IFERROR(ROUND(AB427/(R427/1000),3),"")</f>
        <v/>
      </c>
    </row>
    <row r="428">
      <c r="AB428" s="6">
        <f>MAX(0,ROUND(T428*0.2+U428*0.2+V428*0.15+W428*0.15+X428*0.1+Z428*0.1+AA428*0.1-Y428,3))</f>
        <v/>
      </c>
      <c r="AC428" s="6">
        <f>IFERROR(ROUND(AB428/(S428+0.0001),3),"")</f>
        <v/>
      </c>
      <c r="AD428" s="6">
        <f>IFERROR(ROUND(AB428/(R428/1000),3),"")</f>
        <v/>
      </c>
    </row>
    <row r="429">
      <c r="AB429" s="6">
        <f>MAX(0,ROUND(T429*0.2+U429*0.2+V429*0.15+W429*0.15+X429*0.1+Z429*0.1+AA429*0.1-Y429,3))</f>
        <v/>
      </c>
      <c r="AC429" s="6">
        <f>IFERROR(ROUND(AB429/(S429+0.0001),3),"")</f>
        <v/>
      </c>
      <c r="AD429" s="6">
        <f>IFERROR(ROUND(AB429/(R429/1000),3),"")</f>
        <v/>
      </c>
    </row>
    <row r="430">
      <c r="AB430" s="6">
        <f>MAX(0,ROUND(T430*0.2+U430*0.2+V430*0.15+W430*0.15+X430*0.1+Z430*0.1+AA430*0.1-Y430,3))</f>
        <v/>
      </c>
      <c r="AC430" s="6">
        <f>IFERROR(ROUND(AB430/(S430+0.0001),3),"")</f>
        <v/>
      </c>
      <c r="AD430" s="6">
        <f>IFERROR(ROUND(AB430/(R430/1000),3),"")</f>
        <v/>
      </c>
    </row>
    <row r="431">
      <c r="AB431" s="6">
        <f>MAX(0,ROUND(T431*0.2+U431*0.2+V431*0.15+W431*0.15+X431*0.1+Z431*0.1+AA431*0.1-Y431,3))</f>
        <v/>
      </c>
      <c r="AC431" s="6">
        <f>IFERROR(ROUND(AB431/(S431+0.0001),3),"")</f>
        <v/>
      </c>
      <c r="AD431" s="6">
        <f>IFERROR(ROUND(AB431/(R431/1000),3),"")</f>
        <v/>
      </c>
    </row>
    <row r="432">
      <c r="AB432" s="6">
        <f>MAX(0,ROUND(T432*0.2+U432*0.2+V432*0.15+W432*0.15+X432*0.1+Z432*0.1+AA432*0.1-Y432,3))</f>
        <v/>
      </c>
      <c r="AC432" s="6">
        <f>IFERROR(ROUND(AB432/(S432+0.0001),3),"")</f>
        <v/>
      </c>
      <c r="AD432" s="6">
        <f>IFERROR(ROUND(AB432/(R432/1000),3),"")</f>
        <v/>
      </c>
    </row>
    <row r="433">
      <c r="AB433" s="6">
        <f>MAX(0,ROUND(T433*0.2+U433*0.2+V433*0.15+W433*0.15+X433*0.1+Z433*0.1+AA433*0.1-Y433,3))</f>
        <v/>
      </c>
      <c r="AC433" s="6">
        <f>IFERROR(ROUND(AB433/(S433+0.0001),3),"")</f>
        <v/>
      </c>
      <c r="AD433" s="6">
        <f>IFERROR(ROUND(AB433/(R433/1000),3),"")</f>
        <v/>
      </c>
    </row>
    <row r="434">
      <c r="AB434" s="6">
        <f>MAX(0,ROUND(T434*0.2+U434*0.2+V434*0.15+W434*0.15+X434*0.1+Z434*0.1+AA434*0.1-Y434,3))</f>
        <v/>
      </c>
      <c r="AC434" s="6">
        <f>IFERROR(ROUND(AB434/(S434+0.0001),3),"")</f>
        <v/>
      </c>
      <c r="AD434" s="6">
        <f>IFERROR(ROUND(AB434/(R434/1000),3),"")</f>
        <v/>
      </c>
    </row>
    <row r="435">
      <c r="AB435" s="6">
        <f>MAX(0,ROUND(T435*0.2+U435*0.2+V435*0.15+W435*0.15+X435*0.1+Z435*0.1+AA435*0.1-Y435,3))</f>
        <v/>
      </c>
      <c r="AC435" s="6">
        <f>IFERROR(ROUND(AB435/(S435+0.0001),3),"")</f>
        <v/>
      </c>
      <c r="AD435" s="6">
        <f>IFERROR(ROUND(AB435/(R435/1000),3),"")</f>
        <v/>
      </c>
    </row>
    <row r="436">
      <c r="AB436" s="6">
        <f>MAX(0,ROUND(T436*0.2+U436*0.2+V436*0.15+W436*0.15+X436*0.1+Z436*0.1+AA436*0.1-Y436,3))</f>
        <v/>
      </c>
      <c r="AC436" s="6">
        <f>IFERROR(ROUND(AB436/(S436+0.0001),3),"")</f>
        <v/>
      </c>
      <c r="AD436" s="6">
        <f>IFERROR(ROUND(AB436/(R436/1000),3),"")</f>
        <v/>
      </c>
    </row>
    <row r="437">
      <c r="AB437" s="6">
        <f>MAX(0,ROUND(T437*0.2+U437*0.2+V437*0.15+W437*0.15+X437*0.1+Z437*0.1+AA437*0.1-Y437,3))</f>
        <v/>
      </c>
      <c r="AC437" s="6">
        <f>IFERROR(ROUND(AB437/(S437+0.0001),3),"")</f>
        <v/>
      </c>
      <c r="AD437" s="6">
        <f>IFERROR(ROUND(AB437/(R437/1000),3),"")</f>
        <v/>
      </c>
    </row>
    <row r="438">
      <c r="AB438" s="6">
        <f>MAX(0,ROUND(T438*0.2+U438*0.2+V438*0.15+W438*0.15+X438*0.1+Z438*0.1+AA438*0.1-Y438,3))</f>
        <v/>
      </c>
      <c r="AC438" s="6">
        <f>IFERROR(ROUND(AB438/(S438+0.0001),3),"")</f>
        <v/>
      </c>
      <c r="AD438" s="6">
        <f>IFERROR(ROUND(AB438/(R438/1000),3),"")</f>
        <v/>
      </c>
    </row>
    <row r="439">
      <c r="AB439" s="6">
        <f>MAX(0,ROUND(T439*0.2+U439*0.2+V439*0.15+W439*0.15+X439*0.1+Z439*0.1+AA439*0.1-Y439,3))</f>
        <v/>
      </c>
      <c r="AC439" s="6">
        <f>IFERROR(ROUND(AB439/(S439+0.0001),3),"")</f>
        <v/>
      </c>
      <c r="AD439" s="6">
        <f>IFERROR(ROUND(AB439/(R439/1000),3),"")</f>
        <v/>
      </c>
    </row>
    <row r="440">
      <c r="AB440" s="6">
        <f>MAX(0,ROUND(T440*0.2+U440*0.2+V440*0.15+W440*0.15+X440*0.1+Z440*0.1+AA440*0.1-Y440,3))</f>
        <v/>
      </c>
      <c r="AC440" s="6">
        <f>IFERROR(ROUND(AB440/(S440+0.0001),3),"")</f>
        <v/>
      </c>
      <c r="AD440" s="6">
        <f>IFERROR(ROUND(AB440/(R440/1000),3),"")</f>
        <v/>
      </c>
    </row>
    <row r="441">
      <c r="AB441" s="6">
        <f>MAX(0,ROUND(T441*0.2+U441*0.2+V441*0.15+W441*0.15+X441*0.1+Z441*0.1+AA441*0.1-Y441,3))</f>
        <v/>
      </c>
      <c r="AC441" s="6">
        <f>IFERROR(ROUND(AB441/(S441+0.0001),3),"")</f>
        <v/>
      </c>
      <c r="AD441" s="6">
        <f>IFERROR(ROUND(AB441/(R441/1000),3),"")</f>
        <v/>
      </c>
    </row>
    <row r="442">
      <c r="AB442" s="6">
        <f>MAX(0,ROUND(T442*0.2+U442*0.2+V442*0.15+W442*0.15+X442*0.1+Z442*0.1+AA442*0.1-Y442,3))</f>
        <v/>
      </c>
      <c r="AC442" s="6">
        <f>IFERROR(ROUND(AB442/(S442+0.0001),3),"")</f>
        <v/>
      </c>
      <c r="AD442" s="6">
        <f>IFERROR(ROUND(AB442/(R442/1000),3),"")</f>
        <v/>
      </c>
    </row>
    <row r="443">
      <c r="AB443" s="6">
        <f>MAX(0,ROUND(T443*0.2+U443*0.2+V443*0.15+W443*0.15+X443*0.1+Z443*0.1+AA443*0.1-Y443,3))</f>
        <v/>
      </c>
      <c r="AC443" s="6">
        <f>IFERROR(ROUND(AB443/(S443+0.0001),3),"")</f>
        <v/>
      </c>
      <c r="AD443" s="6">
        <f>IFERROR(ROUND(AB443/(R443/1000),3),"")</f>
        <v/>
      </c>
    </row>
    <row r="444">
      <c r="AB444" s="6">
        <f>MAX(0,ROUND(T444*0.2+U444*0.2+V444*0.15+W444*0.15+X444*0.1+Z444*0.1+AA444*0.1-Y444,3))</f>
        <v/>
      </c>
      <c r="AC444" s="6">
        <f>IFERROR(ROUND(AB444/(S444+0.0001),3),"")</f>
        <v/>
      </c>
      <c r="AD444" s="6">
        <f>IFERROR(ROUND(AB444/(R444/1000),3),"")</f>
        <v/>
      </c>
    </row>
    <row r="445">
      <c r="AB445" s="6">
        <f>MAX(0,ROUND(T445*0.2+U445*0.2+V445*0.15+W445*0.15+X445*0.1+Z445*0.1+AA445*0.1-Y445,3))</f>
        <v/>
      </c>
      <c r="AC445" s="6">
        <f>IFERROR(ROUND(AB445/(S445+0.0001),3),"")</f>
        <v/>
      </c>
      <c r="AD445" s="6">
        <f>IFERROR(ROUND(AB445/(R445/1000),3),"")</f>
        <v/>
      </c>
    </row>
    <row r="446">
      <c r="AB446" s="6">
        <f>MAX(0,ROUND(T446*0.2+U446*0.2+V446*0.15+W446*0.15+X446*0.1+Z446*0.1+AA446*0.1-Y446,3))</f>
        <v/>
      </c>
      <c r="AC446" s="6">
        <f>IFERROR(ROUND(AB446/(S446+0.0001),3),"")</f>
        <v/>
      </c>
      <c r="AD446" s="6">
        <f>IFERROR(ROUND(AB446/(R446/1000),3),"")</f>
        <v/>
      </c>
    </row>
    <row r="447">
      <c r="AB447" s="6">
        <f>MAX(0,ROUND(T447*0.2+U447*0.2+V447*0.15+W447*0.15+X447*0.1+Z447*0.1+AA447*0.1-Y447,3))</f>
        <v/>
      </c>
      <c r="AC447" s="6">
        <f>IFERROR(ROUND(AB447/(S447+0.0001),3),"")</f>
        <v/>
      </c>
      <c r="AD447" s="6">
        <f>IFERROR(ROUND(AB447/(R447/1000),3),"")</f>
        <v/>
      </c>
    </row>
    <row r="448">
      <c r="AB448" s="6">
        <f>MAX(0,ROUND(T448*0.2+U448*0.2+V448*0.15+W448*0.15+X448*0.1+Z448*0.1+AA448*0.1-Y448,3))</f>
        <v/>
      </c>
      <c r="AC448" s="6">
        <f>IFERROR(ROUND(AB448/(S448+0.0001),3),"")</f>
        <v/>
      </c>
      <c r="AD448" s="6">
        <f>IFERROR(ROUND(AB448/(R448/1000),3),"")</f>
        <v/>
      </c>
    </row>
    <row r="449">
      <c r="AB449" s="6">
        <f>MAX(0,ROUND(T449*0.2+U449*0.2+V449*0.15+W449*0.15+X449*0.1+Z449*0.1+AA449*0.1-Y449,3))</f>
        <v/>
      </c>
      <c r="AC449" s="6">
        <f>IFERROR(ROUND(AB449/(S449+0.0001),3),"")</f>
        <v/>
      </c>
      <c r="AD449" s="6">
        <f>IFERROR(ROUND(AB449/(R449/1000),3),"")</f>
        <v/>
      </c>
    </row>
    <row r="450">
      <c r="AB450" s="6">
        <f>MAX(0,ROUND(T450*0.2+U450*0.2+V450*0.15+W450*0.15+X450*0.1+Z450*0.1+AA450*0.1-Y450,3))</f>
        <v/>
      </c>
      <c r="AC450" s="6">
        <f>IFERROR(ROUND(AB450/(S450+0.0001),3),"")</f>
        <v/>
      </c>
      <c r="AD450" s="6">
        <f>IFERROR(ROUND(AB450/(R450/1000),3),"")</f>
        <v/>
      </c>
    </row>
    <row r="451">
      <c r="AB451" s="6">
        <f>MAX(0,ROUND(T451*0.2+U451*0.2+V451*0.15+W451*0.15+X451*0.1+Z451*0.1+AA451*0.1-Y451,3))</f>
        <v/>
      </c>
      <c r="AC451" s="6">
        <f>IFERROR(ROUND(AB451/(S451+0.0001),3),"")</f>
        <v/>
      </c>
      <c r="AD451" s="6">
        <f>IFERROR(ROUND(AB451/(R451/1000),3),"")</f>
        <v/>
      </c>
    </row>
    <row r="452">
      <c r="AB452" s="6">
        <f>MAX(0,ROUND(T452*0.2+U452*0.2+V452*0.15+W452*0.15+X452*0.1+Z452*0.1+AA452*0.1-Y452,3))</f>
        <v/>
      </c>
      <c r="AC452" s="6">
        <f>IFERROR(ROUND(AB452/(S452+0.0001),3),"")</f>
        <v/>
      </c>
      <c r="AD452" s="6">
        <f>IFERROR(ROUND(AB452/(R452/1000),3),"")</f>
        <v/>
      </c>
    </row>
    <row r="453">
      <c r="AB453" s="6">
        <f>MAX(0,ROUND(T453*0.2+U453*0.2+V453*0.15+W453*0.15+X453*0.1+Z453*0.1+AA453*0.1-Y453,3))</f>
        <v/>
      </c>
      <c r="AC453" s="6">
        <f>IFERROR(ROUND(AB453/(S453+0.0001),3),"")</f>
        <v/>
      </c>
      <c r="AD453" s="6">
        <f>IFERROR(ROUND(AB453/(R453/1000),3),"")</f>
        <v/>
      </c>
    </row>
    <row r="454">
      <c r="AB454" s="6">
        <f>MAX(0,ROUND(T454*0.2+U454*0.2+V454*0.15+W454*0.15+X454*0.1+Z454*0.1+AA454*0.1-Y454,3))</f>
        <v/>
      </c>
      <c r="AC454" s="6">
        <f>IFERROR(ROUND(AB454/(S454+0.0001),3),"")</f>
        <v/>
      </c>
      <c r="AD454" s="6">
        <f>IFERROR(ROUND(AB454/(R454/1000),3),"")</f>
        <v/>
      </c>
    </row>
    <row r="455">
      <c r="AB455" s="6">
        <f>MAX(0,ROUND(T455*0.2+U455*0.2+V455*0.15+W455*0.15+X455*0.1+Z455*0.1+AA455*0.1-Y455,3))</f>
        <v/>
      </c>
      <c r="AC455" s="6">
        <f>IFERROR(ROUND(AB455/(S455+0.0001),3),"")</f>
        <v/>
      </c>
      <c r="AD455" s="6">
        <f>IFERROR(ROUND(AB455/(R455/1000),3),"")</f>
        <v/>
      </c>
    </row>
    <row r="456">
      <c r="AB456" s="6">
        <f>MAX(0,ROUND(T456*0.2+U456*0.2+V456*0.15+W456*0.15+X456*0.1+Z456*0.1+AA456*0.1-Y456,3))</f>
        <v/>
      </c>
      <c r="AC456" s="6">
        <f>IFERROR(ROUND(AB456/(S456+0.0001),3),"")</f>
        <v/>
      </c>
      <c r="AD456" s="6">
        <f>IFERROR(ROUND(AB456/(R456/1000),3),"")</f>
        <v/>
      </c>
    </row>
    <row r="457">
      <c r="AB457" s="6">
        <f>MAX(0,ROUND(T457*0.2+U457*0.2+V457*0.15+W457*0.15+X457*0.1+Z457*0.1+AA457*0.1-Y457,3))</f>
        <v/>
      </c>
      <c r="AC457" s="6">
        <f>IFERROR(ROUND(AB457/(S457+0.0001),3),"")</f>
        <v/>
      </c>
      <c r="AD457" s="6">
        <f>IFERROR(ROUND(AB457/(R457/1000),3),"")</f>
        <v/>
      </c>
    </row>
    <row r="458">
      <c r="AB458" s="6">
        <f>MAX(0,ROUND(T458*0.2+U458*0.2+V458*0.15+W458*0.15+X458*0.1+Z458*0.1+AA458*0.1-Y458,3))</f>
        <v/>
      </c>
      <c r="AC458" s="6">
        <f>IFERROR(ROUND(AB458/(S458+0.0001),3),"")</f>
        <v/>
      </c>
      <c r="AD458" s="6">
        <f>IFERROR(ROUND(AB458/(R458/1000),3),"")</f>
        <v/>
      </c>
    </row>
    <row r="459">
      <c r="AB459" s="6">
        <f>MAX(0,ROUND(T459*0.2+U459*0.2+V459*0.15+W459*0.15+X459*0.1+Z459*0.1+AA459*0.1-Y459,3))</f>
        <v/>
      </c>
      <c r="AC459" s="6">
        <f>IFERROR(ROUND(AB459/(S459+0.0001),3),"")</f>
        <v/>
      </c>
      <c r="AD459" s="6">
        <f>IFERROR(ROUND(AB459/(R459/1000),3),"")</f>
        <v/>
      </c>
    </row>
    <row r="460">
      <c r="AB460" s="6">
        <f>MAX(0,ROUND(T460*0.2+U460*0.2+V460*0.15+W460*0.15+X460*0.1+Z460*0.1+AA460*0.1-Y460,3))</f>
        <v/>
      </c>
      <c r="AC460" s="6">
        <f>IFERROR(ROUND(AB460/(S460+0.0001),3),"")</f>
        <v/>
      </c>
      <c r="AD460" s="6">
        <f>IFERROR(ROUND(AB460/(R460/1000),3),"")</f>
        <v/>
      </c>
    </row>
    <row r="461">
      <c r="AB461" s="6">
        <f>MAX(0,ROUND(T461*0.2+U461*0.2+V461*0.15+W461*0.15+X461*0.1+Z461*0.1+AA461*0.1-Y461,3))</f>
        <v/>
      </c>
      <c r="AC461" s="6">
        <f>IFERROR(ROUND(AB461/(S461+0.0001),3),"")</f>
        <v/>
      </c>
      <c r="AD461" s="6">
        <f>IFERROR(ROUND(AB461/(R461/1000),3),"")</f>
        <v/>
      </c>
    </row>
    <row r="462">
      <c r="AB462" s="6">
        <f>MAX(0,ROUND(T462*0.2+U462*0.2+V462*0.15+W462*0.15+X462*0.1+Z462*0.1+AA462*0.1-Y462,3))</f>
        <v/>
      </c>
      <c r="AC462" s="6">
        <f>IFERROR(ROUND(AB462/(S462+0.0001),3),"")</f>
        <v/>
      </c>
      <c r="AD462" s="6">
        <f>IFERROR(ROUND(AB462/(R462/1000),3),"")</f>
        <v/>
      </c>
    </row>
    <row r="463">
      <c r="AB463" s="6">
        <f>MAX(0,ROUND(T463*0.2+U463*0.2+V463*0.15+W463*0.15+X463*0.1+Z463*0.1+AA463*0.1-Y463,3))</f>
        <v/>
      </c>
      <c r="AC463" s="6">
        <f>IFERROR(ROUND(AB463/(S463+0.0001),3),"")</f>
        <v/>
      </c>
      <c r="AD463" s="6">
        <f>IFERROR(ROUND(AB463/(R463/1000),3),"")</f>
        <v/>
      </c>
    </row>
    <row r="464">
      <c r="AB464" s="6">
        <f>MAX(0,ROUND(T464*0.2+U464*0.2+V464*0.15+W464*0.15+X464*0.1+Z464*0.1+AA464*0.1-Y464,3))</f>
        <v/>
      </c>
      <c r="AC464" s="6">
        <f>IFERROR(ROUND(AB464/(S464+0.0001),3),"")</f>
        <v/>
      </c>
      <c r="AD464" s="6">
        <f>IFERROR(ROUND(AB464/(R464/1000),3),"")</f>
        <v/>
      </c>
    </row>
    <row r="465">
      <c r="AB465" s="6">
        <f>MAX(0,ROUND(T465*0.2+U465*0.2+V465*0.15+W465*0.15+X465*0.1+Z465*0.1+AA465*0.1-Y465,3))</f>
        <v/>
      </c>
      <c r="AC465" s="6">
        <f>IFERROR(ROUND(AB465/(S465+0.0001),3),"")</f>
        <v/>
      </c>
      <c r="AD465" s="6">
        <f>IFERROR(ROUND(AB465/(R465/1000),3),"")</f>
        <v/>
      </c>
    </row>
    <row r="466">
      <c r="AB466" s="6">
        <f>MAX(0,ROUND(T466*0.2+U466*0.2+V466*0.15+W466*0.15+X466*0.1+Z466*0.1+AA466*0.1-Y466,3))</f>
        <v/>
      </c>
      <c r="AC466" s="6">
        <f>IFERROR(ROUND(AB466/(S466+0.0001),3),"")</f>
        <v/>
      </c>
      <c r="AD466" s="6">
        <f>IFERROR(ROUND(AB466/(R466/1000),3),"")</f>
        <v/>
      </c>
    </row>
    <row r="467">
      <c r="AB467" s="6">
        <f>MAX(0,ROUND(T467*0.2+U467*0.2+V467*0.15+W467*0.15+X467*0.1+Z467*0.1+AA467*0.1-Y467,3))</f>
        <v/>
      </c>
      <c r="AC467" s="6">
        <f>IFERROR(ROUND(AB467/(S467+0.0001),3),"")</f>
        <v/>
      </c>
      <c r="AD467" s="6">
        <f>IFERROR(ROUND(AB467/(R467/1000),3),"")</f>
        <v/>
      </c>
    </row>
    <row r="468">
      <c r="AB468" s="6">
        <f>MAX(0,ROUND(T468*0.2+U468*0.2+V468*0.15+W468*0.15+X468*0.1+Z468*0.1+AA468*0.1-Y468,3))</f>
        <v/>
      </c>
      <c r="AC468" s="6">
        <f>IFERROR(ROUND(AB468/(S468+0.0001),3),"")</f>
        <v/>
      </c>
      <c r="AD468" s="6">
        <f>IFERROR(ROUND(AB468/(R468/1000),3),"")</f>
        <v/>
      </c>
    </row>
    <row r="469">
      <c r="AB469" s="6">
        <f>MAX(0,ROUND(T469*0.2+U469*0.2+V469*0.15+W469*0.15+X469*0.1+Z469*0.1+AA469*0.1-Y469,3))</f>
        <v/>
      </c>
      <c r="AC469" s="6">
        <f>IFERROR(ROUND(AB469/(S469+0.0001),3),"")</f>
        <v/>
      </c>
      <c r="AD469" s="6">
        <f>IFERROR(ROUND(AB469/(R469/1000),3),"")</f>
        <v/>
      </c>
    </row>
    <row r="470">
      <c r="AB470" s="6">
        <f>MAX(0,ROUND(T470*0.2+U470*0.2+V470*0.15+W470*0.15+X470*0.1+Z470*0.1+AA470*0.1-Y470,3))</f>
        <v/>
      </c>
      <c r="AC470" s="6">
        <f>IFERROR(ROUND(AB470/(S470+0.0001),3),"")</f>
        <v/>
      </c>
      <c r="AD470" s="6">
        <f>IFERROR(ROUND(AB470/(R470/1000),3),"")</f>
        <v/>
      </c>
    </row>
    <row r="471">
      <c r="AB471" s="6">
        <f>MAX(0,ROUND(T471*0.2+U471*0.2+V471*0.15+W471*0.15+X471*0.1+Z471*0.1+AA471*0.1-Y471,3))</f>
        <v/>
      </c>
      <c r="AC471" s="6">
        <f>IFERROR(ROUND(AB471/(S471+0.0001),3),"")</f>
        <v/>
      </c>
      <c r="AD471" s="6">
        <f>IFERROR(ROUND(AB471/(R471/1000),3),"")</f>
        <v/>
      </c>
    </row>
    <row r="472">
      <c r="AB472" s="6">
        <f>MAX(0,ROUND(T472*0.2+U472*0.2+V472*0.15+W472*0.15+X472*0.1+Z472*0.1+AA472*0.1-Y472,3))</f>
        <v/>
      </c>
      <c r="AC472" s="6">
        <f>IFERROR(ROUND(AB472/(S472+0.0001),3),"")</f>
        <v/>
      </c>
      <c r="AD472" s="6">
        <f>IFERROR(ROUND(AB472/(R472/1000),3),"")</f>
        <v/>
      </c>
    </row>
    <row r="473">
      <c r="AB473" s="6">
        <f>MAX(0,ROUND(T473*0.2+U473*0.2+V473*0.15+W473*0.15+X473*0.1+Z473*0.1+AA473*0.1-Y473,3))</f>
        <v/>
      </c>
      <c r="AC473" s="6">
        <f>IFERROR(ROUND(AB473/(S473+0.0001),3),"")</f>
        <v/>
      </c>
      <c r="AD473" s="6">
        <f>IFERROR(ROUND(AB473/(R473/1000),3),"")</f>
        <v/>
      </c>
    </row>
    <row r="474">
      <c r="AB474" s="6">
        <f>MAX(0,ROUND(T474*0.2+U474*0.2+V474*0.15+W474*0.15+X474*0.1+Z474*0.1+AA474*0.1-Y474,3))</f>
        <v/>
      </c>
      <c r="AC474" s="6">
        <f>IFERROR(ROUND(AB474/(S474+0.0001),3),"")</f>
        <v/>
      </c>
      <c r="AD474" s="6">
        <f>IFERROR(ROUND(AB474/(R474/1000),3),"")</f>
        <v/>
      </c>
    </row>
    <row r="475">
      <c r="AB475" s="6">
        <f>MAX(0,ROUND(T475*0.2+U475*0.2+V475*0.15+W475*0.15+X475*0.1+Z475*0.1+AA475*0.1-Y475,3))</f>
        <v/>
      </c>
      <c r="AC475" s="6">
        <f>IFERROR(ROUND(AB475/(S475+0.0001),3),"")</f>
        <v/>
      </c>
      <c r="AD475" s="6">
        <f>IFERROR(ROUND(AB475/(R475/1000),3),"")</f>
        <v/>
      </c>
    </row>
    <row r="476">
      <c r="AB476" s="6">
        <f>MAX(0,ROUND(T476*0.2+U476*0.2+V476*0.15+W476*0.15+X476*0.1+Z476*0.1+AA476*0.1-Y476,3))</f>
        <v/>
      </c>
      <c r="AC476" s="6">
        <f>IFERROR(ROUND(AB476/(S476+0.0001),3),"")</f>
        <v/>
      </c>
      <c r="AD476" s="6">
        <f>IFERROR(ROUND(AB476/(R476/1000),3),"")</f>
        <v/>
      </c>
    </row>
    <row r="477">
      <c r="AB477" s="6">
        <f>MAX(0,ROUND(T477*0.2+U477*0.2+V477*0.15+W477*0.15+X477*0.1+Z477*0.1+AA477*0.1-Y477,3))</f>
        <v/>
      </c>
      <c r="AC477" s="6">
        <f>IFERROR(ROUND(AB477/(S477+0.0001),3),"")</f>
        <v/>
      </c>
      <c r="AD477" s="6">
        <f>IFERROR(ROUND(AB477/(R477/1000),3),"")</f>
        <v/>
      </c>
    </row>
    <row r="478">
      <c r="AB478" s="6">
        <f>MAX(0,ROUND(T478*0.2+U478*0.2+V478*0.15+W478*0.15+X478*0.1+Z478*0.1+AA478*0.1-Y478,3))</f>
        <v/>
      </c>
      <c r="AC478" s="6">
        <f>IFERROR(ROUND(AB478/(S478+0.0001),3),"")</f>
        <v/>
      </c>
      <c r="AD478" s="6">
        <f>IFERROR(ROUND(AB478/(R478/1000),3),"")</f>
        <v/>
      </c>
    </row>
    <row r="479">
      <c r="AB479" s="6">
        <f>MAX(0,ROUND(T479*0.2+U479*0.2+V479*0.15+W479*0.15+X479*0.1+Z479*0.1+AA479*0.1-Y479,3))</f>
        <v/>
      </c>
      <c r="AC479" s="6">
        <f>IFERROR(ROUND(AB479/(S479+0.0001),3),"")</f>
        <v/>
      </c>
      <c r="AD479" s="6">
        <f>IFERROR(ROUND(AB479/(R479/1000),3),"")</f>
        <v/>
      </c>
    </row>
    <row r="480">
      <c r="AB480" s="6">
        <f>MAX(0,ROUND(T480*0.2+U480*0.2+V480*0.15+W480*0.15+X480*0.1+Z480*0.1+AA480*0.1-Y480,3))</f>
        <v/>
      </c>
      <c r="AC480" s="6">
        <f>IFERROR(ROUND(AB480/(S480+0.0001),3),"")</f>
        <v/>
      </c>
      <c r="AD480" s="6">
        <f>IFERROR(ROUND(AB480/(R480/1000),3),"")</f>
        <v/>
      </c>
    </row>
    <row r="481">
      <c r="AB481" s="6">
        <f>MAX(0,ROUND(T481*0.2+U481*0.2+V481*0.15+W481*0.15+X481*0.1+Z481*0.1+AA481*0.1-Y481,3))</f>
        <v/>
      </c>
      <c r="AC481" s="6">
        <f>IFERROR(ROUND(AB481/(S481+0.0001),3),"")</f>
        <v/>
      </c>
      <c r="AD481" s="6">
        <f>IFERROR(ROUND(AB481/(R481/1000),3),"")</f>
        <v/>
      </c>
    </row>
    <row r="482">
      <c r="AB482" s="6">
        <f>MAX(0,ROUND(T482*0.2+U482*0.2+V482*0.15+W482*0.15+X482*0.1+Z482*0.1+AA482*0.1-Y482,3))</f>
        <v/>
      </c>
      <c r="AC482" s="6">
        <f>IFERROR(ROUND(AB482/(S482+0.0001),3),"")</f>
        <v/>
      </c>
      <c r="AD482" s="6">
        <f>IFERROR(ROUND(AB482/(R482/1000),3),"")</f>
        <v/>
      </c>
    </row>
    <row r="483">
      <c r="AB483" s="6">
        <f>MAX(0,ROUND(T483*0.2+U483*0.2+V483*0.15+W483*0.15+X483*0.1+Z483*0.1+AA483*0.1-Y483,3))</f>
        <v/>
      </c>
      <c r="AC483" s="6">
        <f>IFERROR(ROUND(AB483/(S483+0.0001),3),"")</f>
        <v/>
      </c>
      <c r="AD483" s="6">
        <f>IFERROR(ROUND(AB483/(R483/1000),3),"")</f>
        <v/>
      </c>
    </row>
    <row r="484">
      <c r="AB484" s="6">
        <f>MAX(0,ROUND(T484*0.2+U484*0.2+V484*0.15+W484*0.15+X484*0.1+Z484*0.1+AA484*0.1-Y484,3))</f>
        <v/>
      </c>
      <c r="AC484" s="6">
        <f>IFERROR(ROUND(AB484/(S484+0.0001),3),"")</f>
        <v/>
      </c>
      <c r="AD484" s="6">
        <f>IFERROR(ROUND(AB484/(R484/1000),3),"")</f>
        <v/>
      </c>
    </row>
    <row r="485">
      <c r="AB485" s="6">
        <f>MAX(0,ROUND(T485*0.2+U485*0.2+V485*0.15+W485*0.15+X485*0.1+Z485*0.1+AA485*0.1-Y485,3))</f>
        <v/>
      </c>
      <c r="AC485" s="6">
        <f>IFERROR(ROUND(AB485/(S485+0.0001),3),"")</f>
        <v/>
      </c>
      <c r="AD485" s="6">
        <f>IFERROR(ROUND(AB485/(R485/1000),3),"")</f>
        <v/>
      </c>
    </row>
    <row r="486">
      <c r="AB486" s="6">
        <f>MAX(0,ROUND(T486*0.2+U486*0.2+V486*0.15+W486*0.15+X486*0.1+Z486*0.1+AA486*0.1-Y486,3))</f>
        <v/>
      </c>
      <c r="AC486" s="6">
        <f>IFERROR(ROUND(AB486/(S486+0.0001),3),"")</f>
        <v/>
      </c>
      <c r="AD486" s="6">
        <f>IFERROR(ROUND(AB486/(R486/1000),3),"")</f>
        <v/>
      </c>
    </row>
    <row r="487">
      <c r="AB487" s="6">
        <f>MAX(0,ROUND(T487*0.2+U487*0.2+V487*0.15+W487*0.15+X487*0.1+Z487*0.1+AA487*0.1-Y487,3))</f>
        <v/>
      </c>
      <c r="AC487" s="6">
        <f>IFERROR(ROUND(AB487/(S487+0.0001),3),"")</f>
        <v/>
      </c>
      <c r="AD487" s="6">
        <f>IFERROR(ROUND(AB487/(R487/1000),3),"")</f>
        <v/>
      </c>
    </row>
    <row r="488">
      <c r="AB488" s="6">
        <f>MAX(0,ROUND(T488*0.2+U488*0.2+V488*0.15+W488*0.15+X488*0.1+Z488*0.1+AA488*0.1-Y488,3))</f>
        <v/>
      </c>
      <c r="AC488" s="6">
        <f>IFERROR(ROUND(AB488/(S488+0.0001),3),"")</f>
        <v/>
      </c>
      <c r="AD488" s="6">
        <f>IFERROR(ROUND(AB488/(R488/1000),3),"")</f>
        <v/>
      </c>
    </row>
    <row r="489">
      <c r="AB489" s="6">
        <f>MAX(0,ROUND(T489*0.2+U489*0.2+V489*0.15+W489*0.15+X489*0.1+Z489*0.1+AA489*0.1-Y489,3))</f>
        <v/>
      </c>
      <c r="AC489" s="6">
        <f>IFERROR(ROUND(AB489/(S489+0.0001),3),"")</f>
        <v/>
      </c>
      <c r="AD489" s="6">
        <f>IFERROR(ROUND(AB489/(R489/1000),3),"")</f>
        <v/>
      </c>
    </row>
    <row r="490">
      <c r="AB490" s="6">
        <f>MAX(0,ROUND(T490*0.2+U490*0.2+V490*0.15+W490*0.15+X490*0.1+Z490*0.1+AA490*0.1-Y490,3))</f>
        <v/>
      </c>
      <c r="AC490" s="6">
        <f>IFERROR(ROUND(AB490/(S490+0.0001),3),"")</f>
        <v/>
      </c>
      <c r="AD490" s="6">
        <f>IFERROR(ROUND(AB490/(R490/1000),3),"")</f>
        <v/>
      </c>
    </row>
    <row r="491">
      <c r="AB491" s="6">
        <f>MAX(0,ROUND(T491*0.2+U491*0.2+V491*0.15+W491*0.15+X491*0.1+Z491*0.1+AA491*0.1-Y491,3))</f>
        <v/>
      </c>
      <c r="AC491" s="6">
        <f>IFERROR(ROUND(AB491/(S491+0.0001),3),"")</f>
        <v/>
      </c>
      <c r="AD491" s="6">
        <f>IFERROR(ROUND(AB491/(R491/1000),3),"")</f>
        <v/>
      </c>
    </row>
    <row r="492">
      <c r="AB492" s="6">
        <f>MAX(0,ROUND(T492*0.2+U492*0.2+V492*0.15+W492*0.15+X492*0.1+Z492*0.1+AA492*0.1-Y492,3))</f>
        <v/>
      </c>
      <c r="AC492" s="6">
        <f>IFERROR(ROUND(AB492/(S492+0.0001),3),"")</f>
        <v/>
      </c>
      <c r="AD492" s="6">
        <f>IFERROR(ROUND(AB492/(R492/1000),3),"")</f>
        <v/>
      </c>
    </row>
    <row r="493">
      <c r="AB493" s="6">
        <f>MAX(0,ROUND(T493*0.2+U493*0.2+V493*0.15+W493*0.15+X493*0.1+Z493*0.1+AA493*0.1-Y493,3))</f>
        <v/>
      </c>
      <c r="AC493" s="6">
        <f>IFERROR(ROUND(AB493/(S493+0.0001),3),"")</f>
        <v/>
      </c>
      <c r="AD493" s="6">
        <f>IFERROR(ROUND(AB493/(R493/1000),3),"")</f>
        <v/>
      </c>
    </row>
    <row r="494">
      <c r="AB494" s="6">
        <f>MAX(0,ROUND(T494*0.2+U494*0.2+V494*0.15+W494*0.15+X494*0.1+Z494*0.1+AA494*0.1-Y494,3))</f>
        <v/>
      </c>
      <c r="AC494" s="6">
        <f>IFERROR(ROUND(AB494/(S494+0.0001),3),"")</f>
        <v/>
      </c>
      <c r="AD494" s="6">
        <f>IFERROR(ROUND(AB494/(R494/1000),3),"")</f>
        <v/>
      </c>
    </row>
    <row r="495">
      <c r="AB495" s="6">
        <f>MAX(0,ROUND(T495*0.2+U495*0.2+V495*0.15+W495*0.15+X495*0.1+Z495*0.1+AA495*0.1-Y495,3))</f>
        <v/>
      </c>
      <c r="AC495" s="6">
        <f>IFERROR(ROUND(AB495/(S495+0.0001),3),"")</f>
        <v/>
      </c>
      <c r="AD495" s="6">
        <f>IFERROR(ROUND(AB495/(R495/1000),3),"")</f>
        <v/>
      </c>
    </row>
    <row r="496">
      <c r="AB496" s="6">
        <f>MAX(0,ROUND(T496*0.2+U496*0.2+V496*0.15+W496*0.15+X496*0.1+Z496*0.1+AA496*0.1-Y496,3))</f>
        <v/>
      </c>
      <c r="AC496" s="6">
        <f>IFERROR(ROUND(AB496/(S496+0.0001),3),"")</f>
        <v/>
      </c>
      <c r="AD496" s="6">
        <f>IFERROR(ROUND(AB496/(R496/1000),3),"")</f>
        <v/>
      </c>
    </row>
    <row r="497">
      <c r="AB497" s="6">
        <f>MAX(0,ROUND(T497*0.2+U497*0.2+V497*0.15+W497*0.15+X497*0.1+Z497*0.1+AA497*0.1-Y497,3))</f>
        <v/>
      </c>
      <c r="AC497" s="6">
        <f>IFERROR(ROUND(AB497/(S497+0.0001),3),"")</f>
        <v/>
      </c>
      <c r="AD497" s="6">
        <f>IFERROR(ROUND(AB497/(R497/1000),3),"")</f>
        <v/>
      </c>
    </row>
    <row r="498">
      <c r="AB498" s="6">
        <f>MAX(0,ROUND(T498*0.2+U498*0.2+V498*0.15+W498*0.15+X498*0.1+Z498*0.1+AA498*0.1-Y498,3))</f>
        <v/>
      </c>
      <c r="AC498" s="6">
        <f>IFERROR(ROUND(AB498/(S498+0.0001),3),"")</f>
        <v/>
      </c>
      <c r="AD498" s="6">
        <f>IFERROR(ROUND(AB498/(R498/1000),3),"")</f>
        <v/>
      </c>
    </row>
    <row r="499">
      <c r="AB499" s="6">
        <f>MAX(0,ROUND(T499*0.2+U499*0.2+V499*0.15+W499*0.15+X499*0.1+Z499*0.1+AA499*0.1-Y499,3))</f>
        <v/>
      </c>
      <c r="AC499" s="6">
        <f>IFERROR(ROUND(AB499/(S499+0.0001),3),"")</f>
        <v/>
      </c>
      <c r="AD499" s="6">
        <f>IFERROR(ROUND(AB499/(R499/1000),3),"")</f>
        <v/>
      </c>
    </row>
    <row r="500">
      <c r="AB500" s="6">
        <f>MAX(0,ROUND(T500*0.2+U500*0.2+V500*0.15+W500*0.15+X500*0.1+Z500*0.1+AA500*0.1-Y500,3))</f>
        <v/>
      </c>
      <c r="AC500" s="6">
        <f>IFERROR(ROUND(AB500/(S500+0.0001),3),"")</f>
        <v/>
      </c>
      <c r="AD500" s="6">
        <f>IFERROR(ROUND(AB500/(R500/1000),3),"")</f>
        <v/>
      </c>
    </row>
  </sheetData>
  <autoFilter ref="A1:AH2"/>
  <dataValidations count="3">
    <dataValidation sqref="D2:D500" showDropDown="0" showInputMessage="0" showErrorMessage="0" allowBlank="1" type="list">
      <formula1>=Lists!$A$2:$A$4</formula1>
    </dataValidation>
    <dataValidation sqref="E2:E500" showDropDown="0" showInputMessage="0" showErrorMessage="0" allowBlank="1" type="list">
      <formula1>=Lists!$L$2:$L$6</formula1>
    </dataValidation>
    <dataValidation sqref="AF2:AF500" showDropDown="0" showInputMessage="0" showErrorMessage="0" allowBlank="1" type="list">
      <formula1>=Lists!$F$2:$F$4</formula1>
    </dataValidation>
  </dataValidations>
  <pageMargins left="0.75" right="0.75" top="1" bottom="1" header="0.5" footer="0.5"/>
</worksheet>
</file>

<file path=xl/worksheets/sheet6.xml><?xml version="1.0" encoding="utf-8"?>
<worksheet xmlns="http://schemas.openxmlformats.org/spreadsheetml/2006/main">
  <sheetPr>
    <tabColor rgb="001F4E78"/>
    <outlinePr summaryBelow="1" summaryRight="1"/>
    <pageSetUpPr/>
  </sheetPr>
  <dimension ref="A1:Y47"/>
  <sheetViews>
    <sheetView showGridLines="1" workbookViewId="0">
      <pane ySplit="1" topLeftCell="A2" activePane="bottomLeft" state="frozen"/>
      <selection pane="bottomLeft" activeCell="A1" sqref="A1"/>
    </sheetView>
  </sheetViews>
  <sheetFormatPr baseColWidth="8" defaultRowHeight="15"/>
  <cols>
    <col width="13" customWidth="1" min="1" max="1"/>
    <col width="26" customWidth="1" min="2" max="2"/>
    <col width="29" customWidth="1" min="3" max="3"/>
    <col width="47" customWidth="1" min="4" max="4"/>
    <col width="42" customWidth="1" min="5" max="5"/>
    <col width="12" customWidth="1" min="6" max="6"/>
    <col width="19" customWidth="1" min="7" max="7"/>
    <col width="14" customWidth="1" min="8" max="8"/>
    <col width="15" customWidth="1" min="9" max="9"/>
    <col width="30" customWidth="1" min="10" max="10"/>
    <col width="14" customWidth="1" min="11" max="11"/>
    <col width="48" customWidth="1" min="12" max="12"/>
    <col width="48" customWidth="1" min="13" max="13"/>
    <col width="17" customWidth="1" min="14" max="14"/>
    <col width="14" customWidth="1" min="15" max="15"/>
    <col width="21" customWidth="1" min="16" max="16"/>
    <col width="16" customWidth="1" min="17" max="17"/>
    <col width="15" customWidth="1" min="18" max="18"/>
    <col width="13" customWidth="1" min="19" max="19"/>
    <col width="12" customWidth="1" min="20" max="20"/>
    <col width="18" customWidth="1" min="21" max="21"/>
    <col width="17" customWidth="1" min="22" max="22"/>
    <col width="12" customWidth="1" min="23" max="23"/>
    <col width="42" customWidth="1" min="24" max="24"/>
    <col width="48" customWidth="1" min="25" max="25"/>
  </cols>
  <sheetData>
    <row r="1" ht="28" customHeight="1">
      <c r="A1" s="8" t="inlineStr">
        <is>
          <t>config_type</t>
        </is>
      </c>
      <c r="B1" s="8" t="inlineStr">
        <is>
          <t>function_name</t>
        </is>
      </c>
      <c r="C1" s="8" t="inlineStr">
        <is>
          <t>component_name</t>
        </is>
      </c>
      <c r="D1" s="8" t="inlineStr">
        <is>
          <t>version_id</t>
        </is>
      </c>
      <c r="E1" s="8" t="inlineStr">
        <is>
          <t>parent_version_id</t>
        </is>
      </c>
      <c r="F1" s="8" t="inlineStr">
        <is>
          <t>status</t>
        </is>
      </c>
      <c r="G1" s="8" t="inlineStr">
        <is>
          <t>applied_to_models</t>
        </is>
      </c>
      <c r="H1" s="8" t="inlineStr">
        <is>
          <t>subject_code</t>
        </is>
      </c>
      <c r="I1" s="8" t="inlineStr">
        <is>
          <t>question_type</t>
        </is>
      </c>
      <c r="J1" s="8" t="inlineStr">
        <is>
          <t>effective_from</t>
        </is>
      </c>
      <c r="K1" s="8" t="inlineStr">
        <is>
          <t>effective_to</t>
        </is>
      </c>
      <c r="L1" s="8" t="inlineStr">
        <is>
          <t>change_reason</t>
        </is>
      </c>
      <c r="M1" s="8" t="inlineStr">
        <is>
          <t>change_summary</t>
        </is>
      </c>
      <c r="N1" s="8" t="inlineStr">
        <is>
          <t>expected_impact</t>
        </is>
      </c>
      <c r="O1" s="8" t="inlineStr">
        <is>
          <t>dataset_used</t>
        </is>
      </c>
      <c r="P1" s="8" t="inlineStr">
        <is>
          <t>benchmark_run_range</t>
        </is>
      </c>
      <c r="Q1" s="8" t="inlineStr">
        <is>
          <t>quality_before</t>
        </is>
      </c>
      <c r="R1" s="8" t="inlineStr">
        <is>
          <t>quality_after</t>
        </is>
      </c>
      <c r="S1" s="8" t="inlineStr">
        <is>
          <t>cost_before</t>
        </is>
      </c>
      <c r="T1" s="8" t="inlineStr">
        <is>
          <t>cost_after</t>
        </is>
      </c>
      <c r="U1" s="8" t="inlineStr">
        <is>
          <t>stability_before</t>
        </is>
      </c>
      <c r="V1" s="8" t="inlineStr">
        <is>
          <t>stability_after</t>
        </is>
      </c>
      <c r="W1" s="8" t="inlineStr">
        <is>
          <t>owner_note</t>
        </is>
      </c>
      <c r="X1" s="8" t="inlineStr">
        <is>
          <t>source_commit</t>
        </is>
      </c>
      <c r="Y1" s="8" t="inlineStr">
        <is>
          <t>snapshot_path</t>
        </is>
      </c>
    </row>
    <row r="2">
      <c r="A2" t="inlineStr">
        <is>
          <t>groundtruth</t>
        </is>
      </c>
      <c r="B2" t="inlineStr">
        <is>
          <t>CodeMentor</t>
        </is>
      </c>
      <c r="C2" t="inlineStr">
        <is>
          <t>CODE_MENTOR_CORE</t>
        </is>
      </c>
      <c r="D2" t="inlineStr">
        <is>
          <t>CODE_MENTOR_CORE::v1::f25cc20690bd</t>
        </is>
      </c>
      <c r="E2" t="inlineStr"/>
      <c r="F2" t="inlineStr">
        <is>
          <t>active</t>
        </is>
      </c>
      <c r="G2" t="inlineStr"/>
      <c r="H2" t="inlineStr"/>
      <c r="I2" t="inlineStr"/>
      <c r="J2" t="inlineStr">
        <is>
          <t>2026-07-16T06:59:08.0000000Z</t>
        </is>
      </c>
      <c r="K2" t="inlineStr"/>
      <c r="L2" t="inlineStr">
        <is>
          <t>Add AI module prototype, operator UI, and docs</t>
        </is>
      </c>
      <c r="M2" t="inlineStr">
        <is>
          <t>Initial snapshot imported from git history.</t>
        </is>
      </c>
      <c r="N2" t="inlineStr"/>
      <c r="O2" t="inlineStr"/>
      <c r="P2" t="inlineStr"/>
      <c r="Q2" t="inlineStr"/>
      <c r="R2" t="inlineStr"/>
      <c r="S2" t="inlineStr"/>
      <c r="T2" t="inlineStr"/>
      <c r="U2" t="inlineStr"/>
      <c r="V2" t="inlineStr"/>
      <c r="W2" t="inlineStr"/>
      <c r="X2" t="inlineStr">
        <is>
          <t>511aa50726eca82952abff8f8b29642d20a4d019</t>
        </is>
      </c>
      <c r="Y2" t="inlineStr">
        <is>
          <t>src-dotnet\Ape.AiModule.Api\App_Data\ai-config-history\groundtruth\CODE_MENTOR_CORE\20260716065908000-v1-f25cc20690bd.json</t>
        </is>
      </c>
    </row>
    <row r="3">
      <c r="A3" t="inlineStr">
        <is>
          <t>groundtruth</t>
        </is>
      </c>
      <c r="B3" t="inlineStr">
        <is>
          <t>EmbeddingTagging</t>
        </is>
      </c>
      <c r="C3" t="inlineStr">
        <is>
          <t>EMBEDDING_TAGGING_CORE</t>
        </is>
      </c>
      <c r="D3" t="inlineStr">
        <is>
          <t>EMBEDDING_TAGGING_CORE::v1::2ca5f16a4431</t>
        </is>
      </c>
      <c r="E3" t="inlineStr"/>
      <c r="F3" t="inlineStr">
        <is>
          <t>active</t>
        </is>
      </c>
      <c r="G3" t="inlineStr"/>
      <c r="H3" t="inlineStr"/>
      <c r="I3" t="inlineStr"/>
      <c r="J3" t="inlineStr">
        <is>
          <t>2026-07-16T06:59:08.0000000Z</t>
        </is>
      </c>
      <c r="K3" t="inlineStr"/>
      <c r="L3" t="inlineStr">
        <is>
          <t>Add AI module prototype, operator UI, and docs</t>
        </is>
      </c>
      <c r="M3" t="inlineStr">
        <is>
          <t>Initial snapshot imported from git history.</t>
        </is>
      </c>
      <c r="N3" t="inlineStr"/>
      <c r="O3" t="inlineStr"/>
      <c r="P3" t="inlineStr"/>
      <c r="Q3" t="inlineStr"/>
      <c r="R3" t="inlineStr"/>
      <c r="S3" t="inlineStr"/>
      <c r="T3" t="inlineStr"/>
      <c r="U3" t="inlineStr"/>
      <c r="V3" t="inlineStr"/>
      <c r="W3" t="inlineStr"/>
      <c r="X3" t="inlineStr">
        <is>
          <t>511aa50726eca82952abff8f8b29642d20a4d019</t>
        </is>
      </c>
      <c r="Y3" t="inlineStr">
        <is>
          <t>src-dotnet\Ape.AiModule.Api\App_Data\ai-config-history\groundtruth\EMBEDDING_TAGGING_CORE\20260716065908000-v1-2ca5f16a4431.json</t>
        </is>
      </c>
    </row>
    <row r="4">
      <c r="A4" t="inlineStr">
        <is>
          <t>groundtruth</t>
        </is>
      </c>
      <c r="B4" t="inlineStr">
        <is>
          <t>ExtractedContent</t>
        </is>
      </c>
      <c r="C4" t="inlineStr">
        <is>
          <t>EXTRACTED_CONTENT_CORE</t>
        </is>
      </c>
      <c r="D4" t="inlineStr">
        <is>
          <t>EXTRACTED_CONTENT_CORE::v1::b027873c390d</t>
        </is>
      </c>
      <c r="E4" t="inlineStr"/>
      <c r="F4" t="inlineStr">
        <is>
          <t>active</t>
        </is>
      </c>
      <c r="G4" t="inlineStr"/>
      <c r="H4" t="inlineStr"/>
      <c r="I4" t="inlineStr"/>
      <c r="J4" t="inlineStr">
        <is>
          <t>2026-07-16T06:59:08.0000000Z</t>
        </is>
      </c>
      <c r="K4" t="inlineStr"/>
      <c r="L4" t="inlineStr">
        <is>
          <t>Add AI module prototype, operator UI, and docs</t>
        </is>
      </c>
      <c r="M4" t="inlineStr">
        <is>
          <t>Initial snapshot imported from git history.</t>
        </is>
      </c>
      <c r="N4" t="inlineStr"/>
      <c r="O4" t="inlineStr"/>
      <c r="P4" t="inlineStr"/>
      <c r="Q4" t="inlineStr"/>
      <c r="R4" t="inlineStr"/>
      <c r="S4" t="inlineStr"/>
      <c r="T4" t="inlineStr"/>
      <c r="U4" t="inlineStr"/>
      <c r="V4" t="inlineStr"/>
      <c r="W4" t="inlineStr"/>
      <c r="X4" t="inlineStr">
        <is>
          <t>511aa50726eca82952abff8f8b29642d20a4d019</t>
        </is>
      </c>
      <c r="Y4" t="inlineStr">
        <is>
          <t>src-dotnet\Ape.AiModule.Api\App_Data\ai-config-history\groundtruth\EXTRACTED_CONTENT_CORE\20260716065908000-v1-b027873c390d.json</t>
        </is>
      </c>
    </row>
    <row r="5">
      <c r="A5" t="inlineStr">
        <is>
          <t>groundtruth</t>
        </is>
      </c>
      <c r="B5" t="inlineStr">
        <is>
          <t>Gatekeeper</t>
        </is>
      </c>
      <c r="C5" t="inlineStr">
        <is>
          <t>GATEKEEPER_CORE</t>
        </is>
      </c>
      <c r="D5" t="inlineStr">
        <is>
          <t>GATEKEEPER_CORE::v1::8dc50556493a</t>
        </is>
      </c>
      <c r="E5" t="inlineStr"/>
      <c r="F5" t="inlineStr">
        <is>
          <t>active</t>
        </is>
      </c>
      <c r="G5" t="inlineStr"/>
      <c r="H5" t="inlineStr"/>
      <c r="I5" t="inlineStr"/>
      <c r="J5" t="inlineStr">
        <is>
          <t>2026-07-16T06:59:08.0000000Z</t>
        </is>
      </c>
      <c r="K5" t="inlineStr"/>
      <c r="L5" t="inlineStr">
        <is>
          <t>Add AI module prototype, operator UI, and docs</t>
        </is>
      </c>
      <c r="M5" t="inlineStr">
        <is>
          <t>Initial snapshot imported from git history.</t>
        </is>
      </c>
      <c r="N5" t="inlineStr"/>
      <c r="O5" t="inlineStr"/>
      <c r="P5" t="inlineStr"/>
      <c r="Q5" t="inlineStr"/>
      <c r="R5" t="inlineStr"/>
      <c r="S5" t="inlineStr"/>
      <c r="T5" t="inlineStr"/>
      <c r="U5" t="inlineStr"/>
      <c r="V5" t="inlineStr"/>
      <c r="W5" t="inlineStr"/>
      <c r="X5" t="inlineStr">
        <is>
          <t>511aa50726eca82952abff8f8b29642d20a4d019</t>
        </is>
      </c>
      <c r="Y5" t="inlineStr">
        <is>
          <t>src-dotnet\Ape.AiModule.Api\App_Data\ai-config-history\groundtruth\GATEKEEPER_CORE\20260716065908000-v1-8dc50556493a.json</t>
        </is>
      </c>
    </row>
    <row r="6">
      <c r="A6" t="inlineStr">
        <is>
          <t>groundtruth</t>
        </is>
      </c>
      <c r="B6" t="inlineStr">
        <is>
          <t>QuestionGenerationReview</t>
        </is>
      </c>
      <c r="C6" t="inlineStr">
        <is>
          <t>QGEN_C_FE</t>
        </is>
      </c>
      <c r="D6" t="inlineStr">
        <is>
          <t>QGEN_C_FE::v1::85d492157c59</t>
        </is>
      </c>
      <c r="E6" t="inlineStr"/>
      <c r="F6" t="inlineStr">
        <is>
          <t>active</t>
        </is>
      </c>
      <c r="G6" t="inlineStr"/>
      <c r="H6" t="inlineStr">
        <is>
          <t>C</t>
        </is>
      </c>
      <c r="I6" t="inlineStr">
        <is>
          <t>FE</t>
        </is>
      </c>
      <c r="J6" t="inlineStr">
        <is>
          <t>2026-07-16T06:59:08.0000000Z</t>
        </is>
      </c>
      <c r="K6" t="inlineStr"/>
      <c r="L6" t="inlineStr">
        <is>
          <t>Add AI module prototype, operator UI, and docs</t>
        </is>
      </c>
      <c r="M6" t="inlineStr">
        <is>
          <t>Initial snapshot imported from git history.</t>
        </is>
      </c>
      <c r="N6" t="inlineStr"/>
      <c r="O6" t="inlineStr"/>
      <c r="P6" t="inlineStr"/>
      <c r="Q6" t="inlineStr"/>
      <c r="R6" t="inlineStr"/>
      <c r="S6" t="inlineStr"/>
      <c r="T6" t="inlineStr"/>
      <c r="U6" t="inlineStr"/>
      <c r="V6" t="inlineStr"/>
      <c r="W6" t="inlineStr"/>
      <c r="X6" t="inlineStr">
        <is>
          <t>511aa50726eca82952abff8f8b29642d20a4d019</t>
        </is>
      </c>
      <c r="Y6" t="inlineStr">
        <is>
          <t>src-dotnet\Ape.AiModule.Api\App_Data\ai-config-history\groundtruth\QGEN_C_FE\20260716065908000-v1-85d492157c59.json</t>
        </is>
      </c>
    </row>
    <row r="7">
      <c r="A7" t="inlineStr">
        <is>
          <t>groundtruth</t>
        </is>
      </c>
      <c r="B7" t="inlineStr">
        <is>
          <t>QuestionGenerationReview</t>
        </is>
      </c>
      <c r="C7" t="inlineStr">
        <is>
          <t>QGEN_C_PE</t>
        </is>
      </c>
      <c r="D7" t="inlineStr">
        <is>
          <t>QGEN_C_PE::v1::0fa8f1f938dc</t>
        </is>
      </c>
      <c r="E7" t="inlineStr"/>
      <c r="F7" t="inlineStr">
        <is>
          <t>active</t>
        </is>
      </c>
      <c r="G7" t="inlineStr"/>
      <c r="H7" t="inlineStr">
        <is>
          <t>C</t>
        </is>
      </c>
      <c r="I7" t="inlineStr">
        <is>
          <t>PE</t>
        </is>
      </c>
      <c r="J7" t="inlineStr">
        <is>
          <t>2026-07-16T06:59:08.0000000Z</t>
        </is>
      </c>
      <c r="K7" t="inlineStr"/>
      <c r="L7" t="inlineStr">
        <is>
          <t>Add AI module prototype, operator UI, and docs</t>
        </is>
      </c>
      <c r="M7" t="inlineStr">
        <is>
          <t>Initial snapshot imported from git history.</t>
        </is>
      </c>
      <c r="N7" t="inlineStr"/>
      <c r="O7" t="inlineStr"/>
      <c r="P7" t="inlineStr"/>
      <c r="Q7" t="inlineStr"/>
      <c r="R7" t="inlineStr"/>
      <c r="S7" t="inlineStr"/>
      <c r="T7" t="inlineStr"/>
      <c r="U7" t="inlineStr"/>
      <c r="V7" t="inlineStr"/>
      <c r="W7" t="inlineStr"/>
      <c r="X7" t="inlineStr">
        <is>
          <t>511aa50726eca82952abff8f8b29642d20a4d019</t>
        </is>
      </c>
      <c r="Y7" t="inlineStr">
        <is>
          <t>src-dotnet\Ape.AiModule.Api\App_Data\ai-config-history\groundtruth\QGEN_C_PE\20260716065908000-v1-0fa8f1f938dc.json</t>
        </is>
      </c>
    </row>
    <row r="8">
      <c r="A8" t="inlineStr">
        <is>
          <t>groundtruth</t>
        </is>
      </c>
      <c r="B8" t="inlineStr">
        <is>
          <t>QuestionGenerationReview</t>
        </is>
      </c>
      <c r="C8" t="inlineStr">
        <is>
          <t>QGEN_DSA_JAVA_FE</t>
        </is>
      </c>
      <c r="D8" t="inlineStr">
        <is>
          <t>QGEN_DSA_JAVA_FE::v1::1d89e913382a</t>
        </is>
      </c>
      <c r="E8" t="inlineStr"/>
      <c r="F8" t="inlineStr">
        <is>
          <t>active</t>
        </is>
      </c>
      <c r="G8" t="inlineStr"/>
      <c r="H8" t="inlineStr">
        <is>
          <t>DSA_JAVA</t>
        </is>
      </c>
      <c r="I8" t="inlineStr">
        <is>
          <t>FE</t>
        </is>
      </c>
      <c r="J8" t="inlineStr">
        <is>
          <t>2026-07-16T06:59:08.0000000Z</t>
        </is>
      </c>
      <c r="K8" t="inlineStr"/>
      <c r="L8" t="inlineStr">
        <is>
          <t>Add AI module prototype, operator UI, and docs</t>
        </is>
      </c>
      <c r="M8" t="inlineStr">
        <is>
          <t>Initial snapshot imported from git history.</t>
        </is>
      </c>
      <c r="N8" t="inlineStr"/>
      <c r="O8" t="inlineStr"/>
      <c r="P8" t="inlineStr"/>
      <c r="Q8" t="inlineStr"/>
      <c r="R8" t="inlineStr"/>
      <c r="S8" t="inlineStr"/>
      <c r="T8" t="inlineStr"/>
      <c r="U8" t="inlineStr"/>
      <c r="V8" t="inlineStr"/>
      <c r="W8" t="inlineStr"/>
      <c r="X8" t="inlineStr">
        <is>
          <t>511aa50726eca82952abff8f8b29642d20a4d019</t>
        </is>
      </c>
      <c r="Y8" t="inlineStr">
        <is>
          <t>src-dotnet\Ape.AiModule.Api\App_Data\ai-config-history\groundtruth\QGEN_DSA_JAVA_FE\20260716065908000-v1-1d89e913382a.json</t>
        </is>
      </c>
    </row>
    <row r="9">
      <c r="A9" t="inlineStr">
        <is>
          <t>groundtruth</t>
        </is>
      </c>
      <c r="B9" t="inlineStr">
        <is>
          <t>QuestionGenerationReview</t>
        </is>
      </c>
      <c r="C9" t="inlineStr">
        <is>
          <t>QGEN_DSA_JAVA_PE</t>
        </is>
      </c>
      <c r="D9" t="inlineStr">
        <is>
          <t>QGEN_DSA_JAVA_PE::v1::cdb5e8f64470</t>
        </is>
      </c>
      <c r="E9" t="inlineStr"/>
      <c r="F9" t="inlineStr">
        <is>
          <t>active</t>
        </is>
      </c>
      <c r="G9" t="inlineStr"/>
      <c r="H9" t="inlineStr">
        <is>
          <t>DSA_JAVA</t>
        </is>
      </c>
      <c r="I9" t="inlineStr">
        <is>
          <t>PE</t>
        </is>
      </c>
      <c r="J9" t="inlineStr">
        <is>
          <t>2026-07-16T06:59:08.0000000Z</t>
        </is>
      </c>
      <c r="K9" t="inlineStr"/>
      <c r="L9" t="inlineStr">
        <is>
          <t>Add AI module prototype, operator UI, and docs</t>
        </is>
      </c>
      <c r="M9" t="inlineStr">
        <is>
          <t>Initial snapshot imported from git history.</t>
        </is>
      </c>
      <c r="N9" t="inlineStr"/>
      <c r="O9" t="inlineStr"/>
      <c r="P9" t="inlineStr"/>
      <c r="Q9" t="inlineStr"/>
      <c r="R9" t="inlineStr"/>
      <c r="S9" t="inlineStr"/>
      <c r="T9" t="inlineStr"/>
      <c r="U9" t="inlineStr"/>
      <c r="V9" t="inlineStr"/>
      <c r="W9" t="inlineStr"/>
      <c r="X9" t="inlineStr">
        <is>
          <t>511aa50726eca82952abff8f8b29642d20a4d019</t>
        </is>
      </c>
      <c r="Y9" t="inlineStr">
        <is>
          <t>src-dotnet\Ape.AiModule.Api\App_Data\ai-config-history\groundtruth\QGEN_DSA_JAVA_PE\20260716065908000-v1-cdb5e8f64470.json</t>
        </is>
      </c>
    </row>
    <row r="10">
      <c r="A10" t="inlineStr">
        <is>
          <t>groundtruth</t>
        </is>
      </c>
      <c r="B10" t="inlineStr">
        <is>
          <t>QuestionGenerationReview</t>
        </is>
      </c>
      <c r="C10" t="inlineStr">
        <is>
          <t>QGEN_JAVA_OOP_FE</t>
        </is>
      </c>
      <c r="D10" t="inlineStr">
        <is>
          <t>QGEN_JAVA_OOP_FE::v1::d7281aa5d9f2</t>
        </is>
      </c>
      <c r="E10" t="inlineStr"/>
      <c r="F10" t="inlineStr">
        <is>
          <t>active</t>
        </is>
      </c>
      <c r="G10" t="inlineStr"/>
      <c r="H10" t="inlineStr">
        <is>
          <t>JAVA_OOP</t>
        </is>
      </c>
      <c r="I10" t="inlineStr">
        <is>
          <t>FE</t>
        </is>
      </c>
      <c r="J10" t="inlineStr">
        <is>
          <t>2026-07-16T06:59:08.0000000Z</t>
        </is>
      </c>
      <c r="K10" t="inlineStr"/>
      <c r="L10" t="inlineStr">
        <is>
          <t>Add AI module prototype, operator UI, and docs</t>
        </is>
      </c>
      <c r="M10" t="inlineStr">
        <is>
          <t>Initial snapshot imported from git history.</t>
        </is>
      </c>
      <c r="N10" t="inlineStr"/>
      <c r="O10" t="inlineStr"/>
      <c r="P10" t="inlineStr"/>
      <c r="Q10" t="inlineStr"/>
      <c r="R10" t="inlineStr"/>
      <c r="S10" t="inlineStr"/>
      <c r="T10" t="inlineStr"/>
      <c r="U10" t="inlineStr"/>
      <c r="V10" t="inlineStr"/>
      <c r="W10" t="inlineStr"/>
      <c r="X10" t="inlineStr">
        <is>
          <t>511aa50726eca82952abff8f8b29642d20a4d019</t>
        </is>
      </c>
      <c r="Y10" t="inlineStr">
        <is>
          <t>src-dotnet\Ape.AiModule.Api\App_Data\ai-config-history\groundtruth\QGEN_JAVA_OOP_FE\20260716065908000-v1-d7281aa5d9f2.json</t>
        </is>
      </c>
    </row>
    <row r="11">
      <c r="A11" t="inlineStr">
        <is>
          <t>groundtruth</t>
        </is>
      </c>
      <c r="B11" t="inlineStr">
        <is>
          <t>QuestionGenerationReview</t>
        </is>
      </c>
      <c r="C11" t="inlineStr">
        <is>
          <t>QGEN_JAVA_OOP_PE</t>
        </is>
      </c>
      <c r="D11" t="inlineStr">
        <is>
          <t>QGEN_JAVA_OOP_PE::v1::07bed941fa74</t>
        </is>
      </c>
      <c r="E11" t="inlineStr"/>
      <c r="F11" t="inlineStr">
        <is>
          <t>active</t>
        </is>
      </c>
      <c r="G11" t="inlineStr"/>
      <c r="H11" t="inlineStr">
        <is>
          <t>JAVA_OOP</t>
        </is>
      </c>
      <c r="I11" t="inlineStr">
        <is>
          <t>PE</t>
        </is>
      </c>
      <c r="J11" t="inlineStr">
        <is>
          <t>2026-07-16T06:59:08.0000000Z</t>
        </is>
      </c>
      <c r="K11" t="inlineStr"/>
      <c r="L11" t="inlineStr">
        <is>
          <t>Add AI module prototype, operator UI, and docs</t>
        </is>
      </c>
      <c r="M11" t="inlineStr">
        <is>
          <t>Initial snapshot imported from git history.</t>
        </is>
      </c>
      <c r="N11" t="inlineStr"/>
      <c r="O11" t="inlineStr"/>
      <c r="P11" t="inlineStr"/>
      <c r="Q11" t="inlineStr"/>
      <c r="R11" t="inlineStr"/>
      <c r="S11" t="inlineStr"/>
      <c r="T11" t="inlineStr"/>
      <c r="U11" t="inlineStr"/>
      <c r="V11" t="inlineStr"/>
      <c r="W11" t="inlineStr"/>
      <c r="X11" t="inlineStr">
        <is>
          <t>511aa50726eca82952abff8f8b29642d20a4d019</t>
        </is>
      </c>
      <c r="Y11" t="inlineStr">
        <is>
          <t>src-dotnet\Ape.AiModule.Api\App_Data\ai-config-history\groundtruth\QGEN_JAVA_OOP_PE\20260716065908000-v1-07bed941fa74.json</t>
        </is>
      </c>
    </row>
    <row r="12">
      <c r="A12" t="inlineStr">
        <is>
          <t>policie</t>
        </is>
      </c>
      <c r="B12" t="inlineStr">
        <is>
          <t>CodeMentor</t>
        </is>
      </c>
      <c r="C12" t="inlineStr">
        <is>
          <t>code_mentor_policy_v1</t>
        </is>
      </c>
      <c r="D12" t="inlineStr">
        <is>
          <t>code_mentor_policy_v1::v1::9fa0783292ca</t>
        </is>
      </c>
      <c r="E12" t="inlineStr"/>
      <c r="F12" t="inlineStr">
        <is>
          <t>active</t>
        </is>
      </c>
      <c r="G12" t="inlineStr"/>
      <c r="H12" t="inlineStr"/>
      <c r="I12" t="inlineStr"/>
      <c r="J12" t="inlineStr">
        <is>
          <t>2026-07-16T06:59:08.0000000Z</t>
        </is>
      </c>
      <c r="K12" t="inlineStr"/>
      <c r="L12" t="inlineStr">
        <is>
          <t>Add AI module prototype, operator UI, and docs</t>
        </is>
      </c>
      <c r="M12" t="inlineStr">
        <is>
          <t>Initial snapshot imported from git history.</t>
        </is>
      </c>
      <c r="N12" t="inlineStr"/>
      <c r="O12" t="inlineStr"/>
      <c r="P12" t="inlineStr"/>
      <c r="Q12" t="inlineStr"/>
      <c r="R12" t="inlineStr"/>
      <c r="S12" t="inlineStr"/>
      <c r="T12" t="inlineStr"/>
      <c r="U12" t="inlineStr"/>
      <c r="V12" t="inlineStr"/>
      <c r="W12" t="inlineStr"/>
      <c r="X12" t="inlineStr">
        <is>
          <t>511aa50726eca82952abff8f8b29642d20a4d019</t>
        </is>
      </c>
      <c r="Y12" t="inlineStr">
        <is>
          <t>src-dotnet\Ape.AiModule.Api\App_Data\ai-config-history\policies\code_mentor_policy_v1\20260716065908000-v1-9fa0783292ca.json</t>
        </is>
      </c>
    </row>
    <row r="13">
      <c r="A13" t="inlineStr">
        <is>
          <t>policie</t>
        </is>
      </c>
      <c r="B13" t="inlineStr">
        <is>
          <t>EmbeddingTagging</t>
        </is>
      </c>
      <c r="C13" t="inlineStr">
        <is>
          <t>embedding_tagging_policy_v1</t>
        </is>
      </c>
      <c r="D13" t="inlineStr">
        <is>
          <t>embedding_tagging_policy_v1::v1::1d6b36897d83</t>
        </is>
      </c>
      <c r="E13" t="inlineStr"/>
      <c r="F13" t="inlineStr">
        <is>
          <t>active</t>
        </is>
      </c>
      <c r="G13" t="inlineStr"/>
      <c r="H13" t="inlineStr"/>
      <c r="I13" t="inlineStr"/>
      <c r="J13" t="inlineStr">
        <is>
          <t>2026-07-16T06:59:08.0000000Z</t>
        </is>
      </c>
      <c r="K13" t="inlineStr"/>
      <c r="L13" t="inlineStr">
        <is>
          <t>Add AI module prototype, operator UI, and docs</t>
        </is>
      </c>
      <c r="M13" t="inlineStr">
        <is>
          <t>Initial snapshot imported from git history.</t>
        </is>
      </c>
      <c r="N13" t="inlineStr"/>
      <c r="O13" t="inlineStr"/>
      <c r="P13" t="inlineStr"/>
      <c r="Q13" t="inlineStr"/>
      <c r="R13" t="inlineStr"/>
      <c r="S13" t="inlineStr"/>
      <c r="T13" t="inlineStr"/>
      <c r="U13" t="inlineStr"/>
      <c r="V13" t="inlineStr"/>
      <c r="W13" t="inlineStr"/>
      <c r="X13" t="inlineStr">
        <is>
          <t>511aa50726eca82952abff8f8b29642d20a4d019</t>
        </is>
      </c>
      <c r="Y13" t="inlineStr">
        <is>
          <t>src-dotnet\Ape.AiModule.Api\App_Data\ai-config-history\policies\embedding_tagging_policy_v1\20260716065908000-v1-1d6b36897d83.json</t>
        </is>
      </c>
    </row>
    <row r="14">
      <c r="A14" t="inlineStr">
        <is>
          <t>policie</t>
        </is>
      </c>
      <c r="B14" t="inlineStr">
        <is>
          <t>ExtractedContent</t>
        </is>
      </c>
      <c r="C14" t="inlineStr">
        <is>
          <t>extracted_content_policy_v1</t>
        </is>
      </c>
      <c r="D14" t="inlineStr">
        <is>
          <t>extracted_content_policy_v1::v1::68e64c1f29d1</t>
        </is>
      </c>
      <c r="E14" t="inlineStr"/>
      <c r="F14" t="inlineStr">
        <is>
          <t>active</t>
        </is>
      </c>
      <c r="G14" t="inlineStr"/>
      <c r="H14" t="inlineStr"/>
      <c r="I14" t="inlineStr"/>
      <c r="J14" t="inlineStr">
        <is>
          <t>2026-07-16T06:59:08.0000000Z</t>
        </is>
      </c>
      <c r="K14" t="inlineStr"/>
      <c r="L14" t="inlineStr">
        <is>
          <t>Add AI module prototype, operator UI, and docs</t>
        </is>
      </c>
      <c r="M14" t="inlineStr">
        <is>
          <t>Initial snapshot imported from git history.</t>
        </is>
      </c>
      <c r="N14" t="inlineStr"/>
      <c r="O14" t="inlineStr"/>
      <c r="P14" t="inlineStr"/>
      <c r="Q14" t="inlineStr"/>
      <c r="R14" t="inlineStr"/>
      <c r="S14" t="inlineStr"/>
      <c r="T14" t="inlineStr"/>
      <c r="U14" t="inlineStr"/>
      <c r="V14" t="inlineStr"/>
      <c r="W14" t="inlineStr"/>
      <c r="X14" t="inlineStr">
        <is>
          <t>511aa50726eca82952abff8f8b29642d20a4d019</t>
        </is>
      </c>
      <c r="Y14" t="inlineStr">
        <is>
          <t>src-dotnet\Ape.AiModule.Api\App_Data\ai-config-history\policies\extracted_content_policy_v1\20260716065908000-v1-68e64c1f29d1.json</t>
        </is>
      </c>
    </row>
    <row r="15">
      <c r="A15" t="inlineStr">
        <is>
          <t>policie</t>
        </is>
      </c>
      <c r="B15" t="inlineStr">
        <is>
          <t>Gatekeeper</t>
        </is>
      </c>
      <c r="C15" t="inlineStr">
        <is>
          <t>gatekeeper_policy_v1</t>
        </is>
      </c>
      <c r="D15" t="inlineStr">
        <is>
          <t>gatekeeper_policy_v1::v1::9a509daad8c3</t>
        </is>
      </c>
      <c r="E15" t="inlineStr"/>
      <c r="F15" t="inlineStr">
        <is>
          <t>active</t>
        </is>
      </c>
      <c r="G15" t="inlineStr"/>
      <c r="H15" t="inlineStr"/>
      <c r="I15" t="inlineStr"/>
      <c r="J15" t="inlineStr">
        <is>
          <t>2026-07-16T06:59:08.0000000Z</t>
        </is>
      </c>
      <c r="K15" t="inlineStr"/>
      <c r="L15" t="inlineStr">
        <is>
          <t>Add AI module prototype, operator UI, and docs</t>
        </is>
      </c>
      <c r="M15" t="inlineStr">
        <is>
          <t>Initial snapshot imported from git history.</t>
        </is>
      </c>
      <c r="N15" t="inlineStr"/>
      <c r="O15" t="inlineStr"/>
      <c r="P15" t="inlineStr"/>
      <c r="Q15" t="inlineStr"/>
      <c r="R15" t="inlineStr"/>
      <c r="S15" t="inlineStr"/>
      <c r="T15" t="inlineStr"/>
      <c r="U15" t="inlineStr"/>
      <c r="V15" t="inlineStr"/>
      <c r="W15" t="inlineStr"/>
      <c r="X15" t="inlineStr">
        <is>
          <t>511aa50726eca82952abff8f8b29642d20a4d019</t>
        </is>
      </c>
      <c r="Y15" t="inlineStr">
        <is>
          <t>src-dotnet\Ape.AiModule.Api\App_Data\ai-config-history\policies\gatekeeper_policy_v1\20260716065908000-v1-9a509daad8c3.json</t>
        </is>
      </c>
    </row>
    <row r="16">
      <c r="A16" t="inlineStr">
        <is>
          <t>prompt</t>
        </is>
      </c>
      <c r="B16" t="inlineStr">
        <is>
          <t>EmbeddingTagging</t>
        </is>
      </c>
      <c r="C16" t="inlineStr">
        <is>
          <t>auto_tagging</t>
        </is>
      </c>
      <c r="D16" t="inlineStr">
        <is>
          <t>auto_tagging::v2::b90fb7b56678</t>
        </is>
      </c>
      <c r="E16" t="inlineStr"/>
      <c r="F16" t="inlineStr">
        <is>
          <t>historical</t>
        </is>
      </c>
      <c r="G16" t="inlineStr"/>
      <c r="H16" t="inlineStr"/>
      <c r="I16" t="inlineStr"/>
      <c r="J16" t="inlineStr">
        <is>
          <t>2026-07-16T06:59:08.0000000Z</t>
        </is>
      </c>
      <c r="K16" t="inlineStr"/>
      <c r="L16" t="inlineStr">
        <is>
          <t>Add AI module prototype, operator UI, and docs</t>
        </is>
      </c>
      <c r="M16" t="inlineStr">
        <is>
          <t>Initial snapshot imported from git history.</t>
        </is>
      </c>
      <c r="N16" t="inlineStr"/>
      <c r="O16" t="inlineStr"/>
      <c r="P16" t="inlineStr"/>
      <c r="Q16" t="inlineStr"/>
      <c r="R16" t="inlineStr"/>
      <c r="S16" t="inlineStr"/>
      <c r="T16" t="inlineStr"/>
      <c r="U16" t="inlineStr"/>
      <c r="V16" t="inlineStr"/>
      <c r="W16" t="inlineStr"/>
      <c r="X16" t="inlineStr">
        <is>
          <t>511aa50726eca82952abff8f8b29642d20a4d019</t>
        </is>
      </c>
      <c r="Y16" t="inlineStr">
        <is>
          <t>src-dotnet\Ape.AiModule.Api\App_Data\ai-config-history\prompts\auto_tagging\20260716065908000-v2-b90fb7b56678.json</t>
        </is>
      </c>
    </row>
    <row r="17">
      <c r="A17" t="inlineStr">
        <is>
          <t>prompt</t>
        </is>
      </c>
      <c r="B17" t="inlineStr">
        <is>
          <t>EmbeddingTagging</t>
        </is>
      </c>
      <c r="C17" t="inlineStr">
        <is>
          <t>auto_tagging</t>
        </is>
      </c>
      <c r="D17" t="inlineStr">
        <is>
          <t>auto_tagging::v2::b90fb7b56678</t>
        </is>
      </c>
      <c r="E17" t="inlineStr">
        <is>
          <t>auto_tagging::v2::b90fb7b56678</t>
        </is>
      </c>
      <c r="F17" t="inlineStr">
        <is>
          <t>historical</t>
        </is>
      </c>
      <c r="G17" t="inlineStr"/>
      <c r="H17" t="inlineStr"/>
      <c r="I17" t="inlineStr"/>
      <c r="J17" t="inlineStr">
        <is>
          <t>2026-07-17T19:00:42.0000000Z</t>
        </is>
      </c>
      <c r="K17" t="inlineStr"/>
      <c r="L17" t="inlineStr">
        <is>
          <t>fix ai module</t>
        </is>
      </c>
      <c r="M17" t="inlineStr">
        <is>
          <t>No content change relative to previous snapshot.</t>
        </is>
      </c>
      <c r="N17" t="inlineStr"/>
      <c r="O17" t="inlineStr"/>
      <c r="P17" t="inlineStr"/>
      <c r="Q17" t="inlineStr"/>
      <c r="R17" t="inlineStr"/>
      <c r="S17" t="inlineStr"/>
      <c r="T17" t="inlineStr"/>
      <c r="U17" t="inlineStr"/>
      <c r="V17" t="inlineStr"/>
      <c r="W17" t="inlineStr"/>
      <c r="X17" t="inlineStr">
        <is>
          <t>f79e31c968a9e91132d26175ec5fddd520c6cafb</t>
        </is>
      </c>
      <c r="Y17" t="inlineStr">
        <is>
          <t>src-dotnet\Ape.AiModule.Api\App_Data\ai-config-history\prompts\auto_tagging\20260717190042000-v2-b90fb7b56678.json</t>
        </is>
      </c>
    </row>
    <row r="18">
      <c r="A18" t="inlineStr">
        <is>
          <t>prompt</t>
        </is>
      </c>
      <c r="B18" t="inlineStr">
        <is>
          <t>EmbeddingTagging</t>
        </is>
      </c>
      <c r="C18" t="inlineStr">
        <is>
          <t>auto_tagging</t>
        </is>
      </c>
      <c r="D18" t="inlineStr">
        <is>
          <t>auto_tagging::v2::687a3167cbae</t>
        </is>
      </c>
      <c r="E18" t="inlineStr">
        <is>
          <t>auto_tagging::v2::b90fb7b56678</t>
        </is>
      </c>
      <c r="F18" t="inlineStr">
        <is>
          <t>active</t>
        </is>
      </c>
      <c r="G18" t="inlineStr"/>
      <c r="H18" t="inlineStr"/>
      <c r="I18" t="inlineStr"/>
      <c r="J18" t="inlineStr">
        <is>
          <t>2026-07-17T20:20:33.0000000Z</t>
        </is>
      </c>
      <c r="K18" t="inlineStr"/>
      <c r="L18" t="inlineStr">
        <is>
          <t>update FE/PE question generation prompt quality</t>
        </is>
      </c>
      <c r="M18" t="inlineStr">
        <is>
          <t>Changed fields: UpdatedAt</t>
        </is>
      </c>
      <c r="N18" t="inlineStr"/>
      <c r="O18" t="inlineStr"/>
      <c r="P18" t="inlineStr"/>
      <c r="Q18" t="inlineStr"/>
      <c r="R18" t="inlineStr"/>
      <c r="S18" t="inlineStr"/>
      <c r="T18" t="inlineStr"/>
      <c r="U18" t="inlineStr"/>
      <c r="V18" t="inlineStr"/>
      <c r="W18" t="inlineStr"/>
      <c r="X18" t="inlineStr">
        <is>
          <t>414b1d8e9101455132a26bf6845c0d98b395192c</t>
        </is>
      </c>
      <c r="Y18" t="inlineStr">
        <is>
          <t>src-dotnet\Ape.AiModule.Api\App_Data\ai-config-history\prompts\auto_tagging\20260717202033000-v2-687a3167cbae.json</t>
        </is>
      </c>
    </row>
    <row r="19">
      <c r="A19" t="inlineStr">
        <is>
          <t>prompt</t>
        </is>
      </c>
      <c r="B19" t="inlineStr">
        <is>
          <t>CodeMentor</t>
        </is>
      </c>
      <c r="C19" t="inlineStr">
        <is>
          <t>code_mentor</t>
        </is>
      </c>
      <c r="D19" t="inlineStr">
        <is>
          <t>code_mentor::v3::4e41f3bd58b7</t>
        </is>
      </c>
      <c r="E19" t="inlineStr"/>
      <c r="F19" t="inlineStr">
        <is>
          <t>historical</t>
        </is>
      </c>
      <c r="G19" t="inlineStr"/>
      <c r="H19" t="inlineStr"/>
      <c r="I19" t="inlineStr"/>
      <c r="J19" t="inlineStr">
        <is>
          <t>2026-07-16T06:59:08.0000000Z</t>
        </is>
      </c>
      <c r="K19" t="inlineStr"/>
      <c r="L19" t="inlineStr">
        <is>
          <t>Add AI module prototype, operator UI, and docs</t>
        </is>
      </c>
      <c r="M19" t="inlineStr">
        <is>
          <t>Initial snapshot imported from git history.</t>
        </is>
      </c>
      <c r="N19" t="inlineStr"/>
      <c r="O19" t="inlineStr"/>
      <c r="P19" t="inlineStr"/>
      <c r="Q19" t="inlineStr"/>
      <c r="R19" t="inlineStr"/>
      <c r="S19" t="inlineStr"/>
      <c r="T19" t="inlineStr"/>
      <c r="U19" t="inlineStr"/>
      <c r="V19" t="inlineStr"/>
      <c r="W19" t="inlineStr"/>
      <c r="X19" t="inlineStr">
        <is>
          <t>511aa50726eca82952abff8f8b29642d20a4d019</t>
        </is>
      </c>
      <c r="Y19" t="inlineStr">
        <is>
          <t>src-dotnet\Ape.AiModule.Api\App_Data\ai-config-history\prompts\code_mentor\20260716065908000-v3-4e41f3bd58b7.json</t>
        </is>
      </c>
    </row>
    <row r="20">
      <c r="A20" t="inlineStr">
        <is>
          <t>prompt</t>
        </is>
      </c>
      <c r="B20" t="inlineStr">
        <is>
          <t>CodeMentor</t>
        </is>
      </c>
      <c r="C20" t="inlineStr">
        <is>
          <t>code_mentor</t>
        </is>
      </c>
      <c r="D20" t="inlineStr">
        <is>
          <t>code_mentor::v3::4e41f3bd58b7</t>
        </is>
      </c>
      <c r="E20" t="inlineStr">
        <is>
          <t>code_mentor::v3::4e41f3bd58b7</t>
        </is>
      </c>
      <c r="F20" t="inlineStr">
        <is>
          <t>historical</t>
        </is>
      </c>
      <c r="G20" t="inlineStr"/>
      <c r="H20" t="inlineStr"/>
      <c r="I20" t="inlineStr"/>
      <c r="J20" t="inlineStr">
        <is>
          <t>2026-07-17T19:00:42.0000000Z</t>
        </is>
      </c>
      <c r="K20" t="inlineStr"/>
      <c r="L20" t="inlineStr">
        <is>
          <t>fix ai module</t>
        </is>
      </c>
      <c r="M20" t="inlineStr">
        <is>
          <t>No content change relative to previous snapshot.</t>
        </is>
      </c>
      <c r="N20" t="inlineStr"/>
      <c r="O20" t="inlineStr"/>
      <c r="P20" t="inlineStr"/>
      <c r="Q20" t="inlineStr"/>
      <c r="R20" t="inlineStr"/>
      <c r="S20" t="inlineStr"/>
      <c r="T20" t="inlineStr"/>
      <c r="U20" t="inlineStr"/>
      <c r="V20" t="inlineStr"/>
      <c r="W20" t="inlineStr"/>
      <c r="X20" t="inlineStr">
        <is>
          <t>f79e31c968a9e91132d26175ec5fddd520c6cafb</t>
        </is>
      </c>
      <c r="Y20" t="inlineStr">
        <is>
          <t>src-dotnet\Ape.AiModule.Api\App_Data\ai-config-history\prompts\code_mentor\20260717190042000-v3-4e41f3bd58b7.json</t>
        </is>
      </c>
    </row>
    <row r="21">
      <c r="A21" t="inlineStr">
        <is>
          <t>prompt</t>
        </is>
      </c>
      <c r="B21" t="inlineStr">
        <is>
          <t>CodeMentor</t>
        </is>
      </c>
      <c r="C21" t="inlineStr">
        <is>
          <t>code_mentor</t>
        </is>
      </c>
      <c r="D21" t="inlineStr">
        <is>
          <t>code_mentor::v3::6db7f1d986db</t>
        </is>
      </c>
      <c r="E21" t="inlineStr">
        <is>
          <t>code_mentor::v3::4e41f3bd58b7</t>
        </is>
      </c>
      <c r="F21" t="inlineStr">
        <is>
          <t>active</t>
        </is>
      </c>
      <c r="G21" t="inlineStr"/>
      <c r="H21" t="inlineStr"/>
      <c r="I21" t="inlineStr"/>
      <c r="J21" t="inlineStr">
        <is>
          <t>2026-07-17T20:20:33.0000000Z</t>
        </is>
      </c>
      <c r="K21" t="inlineStr"/>
      <c r="L21" t="inlineStr">
        <is>
          <t>update FE/PE question generation prompt quality</t>
        </is>
      </c>
      <c r="M21" t="inlineStr">
        <is>
          <t>Changed fields: UpdatedAt</t>
        </is>
      </c>
      <c r="N21" t="inlineStr"/>
      <c r="O21" t="inlineStr"/>
      <c r="P21" t="inlineStr"/>
      <c r="Q21" t="inlineStr"/>
      <c r="R21" t="inlineStr"/>
      <c r="S21" t="inlineStr"/>
      <c r="T21" t="inlineStr"/>
      <c r="U21" t="inlineStr"/>
      <c r="V21" t="inlineStr"/>
      <c r="W21" t="inlineStr"/>
      <c r="X21" t="inlineStr">
        <is>
          <t>414b1d8e9101455132a26bf6845c0d98b395192c</t>
        </is>
      </c>
      <c r="Y21" t="inlineStr">
        <is>
          <t>src-dotnet\Ape.AiModule.Api\App_Data\ai-config-history\prompts\code_mentor\20260717202033000-v3-6db7f1d986db.json</t>
        </is>
      </c>
    </row>
    <row r="22">
      <c r="A22" t="inlineStr">
        <is>
          <t>prompt</t>
        </is>
      </c>
      <c r="B22" t="inlineStr">
        <is>
          <t>ExtractedContent</t>
        </is>
      </c>
      <c r="C22" t="inlineStr">
        <is>
          <t>extract_content_vision</t>
        </is>
      </c>
      <c r="D22" t="inlineStr">
        <is>
          <t>extract_content_vision::v2::7c22e4415149</t>
        </is>
      </c>
      <c r="E22" t="inlineStr"/>
      <c r="F22" t="inlineStr">
        <is>
          <t>historical</t>
        </is>
      </c>
      <c r="G22" t="inlineStr"/>
      <c r="H22" t="inlineStr"/>
      <c r="I22" t="inlineStr"/>
      <c r="J22" t="inlineStr">
        <is>
          <t>2026-07-16T06:59:08.0000000Z</t>
        </is>
      </c>
      <c r="K22" t="inlineStr"/>
      <c r="L22" t="inlineStr">
        <is>
          <t>Add AI module prototype, operator UI, and docs</t>
        </is>
      </c>
      <c r="M22" t="inlineStr">
        <is>
          <t>Initial snapshot imported from git history.</t>
        </is>
      </c>
      <c r="N22" t="inlineStr"/>
      <c r="O22" t="inlineStr"/>
      <c r="P22" t="inlineStr"/>
      <c r="Q22" t="inlineStr"/>
      <c r="R22" t="inlineStr"/>
      <c r="S22" t="inlineStr"/>
      <c r="T22" t="inlineStr"/>
      <c r="U22" t="inlineStr"/>
      <c r="V22" t="inlineStr"/>
      <c r="W22" t="inlineStr"/>
      <c r="X22" t="inlineStr">
        <is>
          <t>511aa50726eca82952abff8f8b29642d20a4d019</t>
        </is>
      </c>
      <c r="Y22" t="inlineStr">
        <is>
          <t>src-dotnet\Ape.AiModule.Api\App_Data\ai-config-history\prompts\extract_content_vision\20260716065908000-v2-7c22e4415149.json</t>
        </is>
      </c>
    </row>
    <row r="23">
      <c r="A23" t="inlineStr">
        <is>
          <t>prompt</t>
        </is>
      </c>
      <c r="B23" t="inlineStr">
        <is>
          <t>ExtractedContent</t>
        </is>
      </c>
      <c r="C23" t="inlineStr">
        <is>
          <t>extract_content_vision</t>
        </is>
      </c>
      <c r="D23" t="inlineStr">
        <is>
          <t>extract_content_vision::v2::7c22e4415149</t>
        </is>
      </c>
      <c r="E23" t="inlineStr">
        <is>
          <t>extract_content_vision::v2::7c22e4415149</t>
        </is>
      </c>
      <c r="F23" t="inlineStr">
        <is>
          <t>historical</t>
        </is>
      </c>
      <c r="G23" t="inlineStr"/>
      <c r="H23" t="inlineStr"/>
      <c r="I23" t="inlineStr"/>
      <c r="J23" t="inlineStr">
        <is>
          <t>2026-07-17T19:00:42.0000000Z</t>
        </is>
      </c>
      <c r="K23" t="inlineStr"/>
      <c r="L23" t="inlineStr">
        <is>
          <t>fix ai module</t>
        </is>
      </c>
      <c r="M23" t="inlineStr">
        <is>
          <t>No content change relative to previous snapshot.</t>
        </is>
      </c>
      <c r="N23" t="inlineStr"/>
      <c r="O23" t="inlineStr"/>
      <c r="P23" t="inlineStr"/>
      <c r="Q23" t="inlineStr"/>
      <c r="R23" t="inlineStr"/>
      <c r="S23" t="inlineStr"/>
      <c r="T23" t="inlineStr"/>
      <c r="U23" t="inlineStr"/>
      <c r="V23" t="inlineStr"/>
      <c r="W23" t="inlineStr"/>
      <c r="X23" t="inlineStr">
        <is>
          <t>f79e31c968a9e91132d26175ec5fddd520c6cafb</t>
        </is>
      </c>
      <c r="Y23" t="inlineStr">
        <is>
          <t>src-dotnet\Ape.AiModule.Api\App_Data\ai-config-history\prompts\extract_content_vision\20260717190042000-v2-7c22e4415149.json</t>
        </is>
      </c>
    </row>
    <row r="24">
      <c r="A24" t="inlineStr">
        <is>
          <t>prompt</t>
        </is>
      </c>
      <c r="B24" t="inlineStr">
        <is>
          <t>ExtractedContent</t>
        </is>
      </c>
      <c r="C24" t="inlineStr">
        <is>
          <t>extract_content_vision</t>
        </is>
      </c>
      <c r="D24" t="inlineStr">
        <is>
          <t>extract_content_vision::v2::1489a766e22e</t>
        </is>
      </c>
      <c r="E24" t="inlineStr">
        <is>
          <t>extract_content_vision::v2::7c22e4415149</t>
        </is>
      </c>
      <c r="F24" t="inlineStr">
        <is>
          <t>active</t>
        </is>
      </c>
      <c r="G24" t="inlineStr"/>
      <c r="H24" t="inlineStr"/>
      <c r="I24" t="inlineStr"/>
      <c r="J24" t="inlineStr">
        <is>
          <t>2026-07-17T20:20:33.0000000Z</t>
        </is>
      </c>
      <c r="K24" t="inlineStr"/>
      <c r="L24" t="inlineStr">
        <is>
          <t>update FE/PE question generation prompt quality</t>
        </is>
      </c>
      <c r="M24" t="inlineStr">
        <is>
          <t>Changed fields: UpdatedAt</t>
        </is>
      </c>
      <c r="N24" t="inlineStr"/>
      <c r="O24" t="inlineStr"/>
      <c r="P24" t="inlineStr"/>
      <c r="Q24" t="inlineStr"/>
      <c r="R24" t="inlineStr"/>
      <c r="S24" t="inlineStr"/>
      <c r="T24" t="inlineStr"/>
      <c r="U24" t="inlineStr"/>
      <c r="V24" t="inlineStr"/>
      <c r="W24" t="inlineStr"/>
      <c r="X24" t="inlineStr">
        <is>
          <t>414b1d8e9101455132a26bf6845c0d98b395192c</t>
        </is>
      </c>
      <c r="Y24" t="inlineStr">
        <is>
          <t>src-dotnet\Ape.AiModule.Api\App_Data\ai-config-history\prompts\extract_content_vision\20260717202033000-v2-1489a766e22e.json</t>
        </is>
      </c>
    </row>
    <row r="25">
      <c r="A25" t="inlineStr">
        <is>
          <t>prompt</t>
        </is>
      </c>
      <c r="B25" t="inlineStr">
        <is>
          <t>Gatekeeper</t>
        </is>
      </c>
      <c r="C25" t="inlineStr">
        <is>
          <t>gatekeeper</t>
        </is>
      </c>
      <c r="D25" t="inlineStr">
        <is>
          <t>gatekeeper::v2::6f1f8916905b</t>
        </is>
      </c>
      <c r="E25" t="inlineStr"/>
      <c r="F25" t="inlineStr">
        <is>
          <t>historical</t>
        </is>
      </c>
      <c r="G25" t="inlineStr"/>
      <c r="H25" t="inlineStr"/>
      <c r="I25" t="inlineStr"/>
      <c r="J25" t="inlineStr">
        <is>
          <t>2026-07-16T06:59:08.0000000Z</t>
        </is>
      </c>
      <c r="K25" t="inlineStr"/>
      <c r="L25" t="inlineStr">
        <is>
          <t>Add AI module prototype, operator UI, and docs</t>
        </is>
      </c>
      <c r="M25" t="inlineStr">
        <is>
          <t>Initial snapshot imported from git history.</t>
        </is>
      </c>
      <c r="N25" t="inlineStr"/>
      <c r="O25" t="inlineStr"/>
      <c r="P25" t="inlineStr"/>
      <c r="Q25" t="inlineStr"/>
      <c r="R25" t="inlineStr"/>
      <c r="S25" t="inlineStr"/>
      <c r="T25" t="inlineStr"/>
      <c r="U25" t="inlineStr"/>
      <c r="V25" t="inlineStr"/>
      <c r="W25" t="inlineStr"/>
      <c r="X25" t="inlineStr">
        <is>
          <t>511aa50726eca82952abff8f8b29642d20a4d019</t>
        </is>
      </c>
      <c r="Y25" t="inlineStr">
        <is>
          <t>src-dotnet\Ape.AiModule.Api\App_Data\ai-config-history\prompts\gatekeeper\20260716065908000-v2-6f1f8916905b.json</t>
        </is>
      </c>
    </row>
    <row r="26">
      <c r="A26" t="inlineStr">
        <is>
          <t>prompt</t>
        </is>
      </c>
      <c r="B26" t="inlineStr">
        <is>
          <t>Gatekeeper</t>
        </is>
      </c>
      <c r="C26" t="inlineStr">
        <is>
          <t>gatekeeper</t>
        </is>
      </c>
      <c r="D26" t="inlineStr">
        <is>
          <t>gatekeeper::v2::6f1f8916905b</t>
        </is>
      </c>
      <c r="E26" t="inlineStr">
        <is>
          <t>gatekeeper::v2::6f1f8916905b</t>
        </is>
      </c>
      <c r="F26" t="inlineStr">
        <is>
          <t>historical</t>
        </is>
      </c>
      <c r="G26" t="inlineStr"/>
      <c r="H26" t="inlineStr"/>
      <c r="I26" t="inlineStr"/>
      <c r="J26" t="inlineStr">
        <is>
          <t>2026-07-17T19:00:42.0000000Z</t>
        </is>
      </c>
      <c r="K26" t="inlineStr"/>
      <c r="L26" t="inlineStr">
        <is>
          <t>fix ai module</t>
        </is>
      </c>
      <c r="M26" t="inlineStr">
        <is>
          <t>No content change relative to previous snapshot.</t>
        </is>
      </c>
      <c r="N26" t="inlineStr"/>
      <c r="O26" t="inlineStr"/>
      <c r="P26" t="inlineStr"/>
      <c r="Q26" t="inlineStr"/>
      <c r="R26" t="inlineStr"/>
      <c r="S26" t="inlineStr"/>
      <c r="T26" t="inlineStr"/>
      <c r="U26" t="inlineStr"/>
      <c r="V26" t="inlineStr"/>
      <c r="W26" t="inlineStr"/>
      <c r="X26" t="inlineStr">
        <is>
          <t>f79e31c968a9e91132d26175ec5fddd520c6cafb</t>
        </is>
      </c>
      <c r="Y26" t="inlineStr">
        <is>
          <t>src-dotnet\Ape.AiModule.Api\App_Data\ai-config-history\prompts\gatekeeper\20260717190042000-v2-6f1f8916905b.json</t>
        </is>
      </c>
    </row>
    <row r="27">
      <c r="A27" t="inlineStr">
        <is>
          <t>prompt</t>
        </is>
      </c>
      <c r="B27" t="inlineStr">
        <is>
          <t>Gatekeeper</t>
        </is>
      </c>
      <c r="C27" t="inlineStr">
        <is>
          <t>gatekeeper</t>
        </is>
      </c>
      <c r="D27" t="inlineStr">
        <is>
          <t>gatekeeper::v2::508ded9c086e</t>
        </is>
      </c>
      <c r="E27" t="inlineStr">
        <is>
          <t>gatekeeper::v2::6f1f8916905b</t>
        </is>
      </c>
      <c r="F27" t="inlineStr">
        <is>
          <t>active</t>
        </is>
      </c>
      <c r="G27" t="inlineStr"/>
      <c r="H27" t="inlineStr"/>
      <c r="I27" t="inlineStr"/>
      <c r="J27" t="inlineStr">
        <is>
          <t>2026-07-17T20:20:33.0000000Z</t>
        </is>
      </c>
      <c r="K27" t="inlineStr"/>
      <c r="L27" t="inlineStr">
        <is>
          <t>update FE/PE question generation prompt quality</t>
        </is>
      </c>
      <c r="M27" t="inlineStr">
        <is>
          <t>Changed fields: UpdatedAt</t>
        </is>
      </c>
      <c r="N27" t="inlineStr"/>
      <c r="O27" t="inlineStr"/>
      <c r="P27" t="inlineStr"/>
      <c r="Q27" t="inlineStr"/>
      <c r="R27" t="inlineStr"/>
      <c r="S27" t="inlineStr"/>
      <c r="T27" t="inlineStr"/>
      <c r="U27" t="inlineStr"/>
      <c r="V27" t="inlineStr"/>
      <c r="W27" t="inlineStr"/>
      <c r="X27" t="inlineStr">
        <is>
          <t>414b1d8e9101455132a26bf6845c0d98b395192c</t>
        </is>
      </c>
      <c r="Y27" t="inlineStr">
        <is>
          <t>src-dotnet\Ape.AiModule.Api\App_Data\ai-config-history\prompts\gatekeeper\20260717202033000-v2-508ded9c086e.json</t>
        </is>
      </c>
    </row>
    <row r="28">
      <c r="A28" t="inlineStr">
        <is>
          <t>prompt</t>
        </is>
      </c>
      <c r="B28" t="inlineStr">
        <is>
          <t>QuestionGeneration</t>
        </is>
      </c>
      <c r="C28" t="inlineStr">
        <is>
          <t>question_generation</t>
        </is>
      </c>
      <c r="D28" t="inlineStr">
        <is>
          <t>question_generation::v2::0a3e9ab58483</t>
        </is>
      </c>
      <c r="E28" t="inlineStr"/>
      <c r="F28" t="inlineStr">
        <is>
          <t>historical</t>
        </is>
      </c>
      <c r="G28" t="inlineStr"/>
      <c r="H28" t="inlineStr"/>
      <c r="I28" t="inlineStr"/>
      <c r="J28" t="inlineStr">
        <is>
          <t>2026-07-16T06:59:08.0000000Z</t>
        </is>
      </c>
      <c r="K28" t="inlineStr"/>
      <c r="L28" t="inlineStr">
        <is>
          <t>Add AI module prototype, operator UI, and docs</t>
        </is>
      </c>
      <c r="M28" t="inlineStr">
        <is>
          <t>Initial snapshot imported from git history.</t>
        </is>
      </c>
      <c r="N28" t="inlineStr"/>
      <c r="O28" t="inlineStr"/>
      <c r="P28" t="inlineStr"/>
      <c r="Q28" t="inlineStr"/>
      <c r="R28" t="inlineStr"/>
      <c r="S28" t="inlineStr"/>
      <c r="T28" t="inlineStr"/>
      <c r="U28" t="inlineStr"/>
      <c r="V28" t="inlineStr"/>
      <c r="W28" t="inlineStr"/>
      <c r="X28" t="inlineStr">
        <is>
          <t>511aa50726eca82952abff8f8b29642d20a4d019</t>
        </is>
      </c>
      <c r="Y28" t="inlineStr">
        <is>
          <t>src-dotnet\Ape.AiModule.Api\App_Data\ai-config-history\prompts\question_generation\20260716065908000-v2-0a3e9ab58483.json</t>
        </is>
      </c>
    </row>
    <row r="29">
      <c r="A29" t="inlineStr">
        <is>
          <t>prompt</t>
        </is>
      </c>
      <c r="B29" t="inlineStr">
        <is>
          <t>QuestionGeneration</t>
        </is>
      </c>
      <c r="C29" t="inlineStr">
        <is>
          <t>question_generation</t>
        </is>
      </c>
      <c r="D29" t="inlineStr">
        <is>
          <t>question_generation::v4::993fbf8b9ea3</t>
        </is>
      </c>
      <c r="E29" t="inlineStr">
        <is>
          <t>question_generation::v2::0a3e9ab58483</t>
        </is>
      </c>
      <c r="F29" t="inlineStr">
        <is>
          <t>historical</t>
        </is>
      </c>
      <c r="G29" t="inlineStr"/>
      <c r="H29" t="inlineStr"/>
      <c r="I29" t="inlineStr"/>
      <c r="J29" t="inlineStr">
        <is>
          <t>2026-07-17T19:00:42.0000000Z</t>
        </is>
      </c>
      <c r="K29" t="inlineStr"/>
      <c r="L29" t="inlineStr">
        <is>
          <t>fix ai module</t>
        </is>
      </c>
      <c r="M29" t="inlineStr">
        <is>
          <t>Changed fields: SystemPrompt, UserPrompt, Version</t>
        </is>
      </c>
      <c r="N29" t="inlineStr"/>
      <c r="O29" t="inlineStr"/>
      <c r="P29" t="inlineStr"/>
      <c r="Q29" t="inlineStr"/>
      <c r="R29" t="inlineStr"/>
      <c r="S29" t="inlineStr"/>
      <c r="T29" t="inlineStr"/>
      <c r="U29" t="inlineStr"/>
      <c r="V29" t="inlineStr"/>
      <c r="W29" t="inlineStr"/>
      <c r="X29" t="inlineStr">
        <is>
          <t>f79e31c968a9e91132d26175ec5fddd520c6cafb</t>
        </is>
      </c>
      <c r="Y29" t="inlineStr">
        <is>
          <t>src-dotnet\Ape.AiModule.Api\App_Data\ai-config-history\prompts\question_generation\20260717190042000-v4-993fbf8b9ea3.json</t>
        </is>
      </c>
    </row>
    <row r="30">
      <c r="A30" t="inlineStr">
        <is>
          <t>prompt</t>
        </is>
      </c>
      <c r="B30" t="inlineStr">
        <is>
          <t>QuestionGeneration</t>
        </is>
      </c>
      <c r="C30" t="inlineStr">
        <is>
          <t>question_generation</t>
        </is>
      </c>
      <c r="D30" t="inlineStr">
        <is>
          <t>question_generation::v8::0f93c23f042c</t>
        </is>
      </c>
      <c r="E30" t="inlineStr">
        <is>
          <t>question_generation::v4::993fbf8b9ea3</t>
        </is>
      </c>
      <c r="F30" t="inlineStr">
        <is>
          <t>active</t>
        </is>
      </c>
      <c r="G30" t="inlineStr"/>
      <c r="H30" t="inlineStr"/>
      <c r="I30" t="inlineStr"/>
      <c r="J30" t="inlineStr">
        <is>
          <t>2026-07-17T20:20:33.0000000Z</t>
        </is>
      </c>
      <c r="K30" t="inlineStr"/>
      <c r="L30" t="inlineStr">
        <is>
          <t>update FE/PE question generation prompt quality</t>
        </is>
      </c>
      <c r="M30" t="inlineStr">
        <is>
          <t>Changed fields: UpdatedAt, UserPrompt, Version</t>
        </is>
      </c>
      <c r="N30" t="inlineStr"/>
      <c r="O30" t="inlineStr"/>
      <c r="P30" t="inlineStr"/>
      <c r="Q30" t="inlineStr"/>
      <c r="R30" t="inlineStr"/>
      <c r="S30" t="inlineStr"/>
      <c r="T30" t="inlineStr"/>
      <c r="U30" t="inlineStr"/>
      <c r="V30" t="inlineStr"/>
      <c r="W30" t="inlineStr"/>
      <c r="X30" t="inlineStr">
        <is>
          <t>414b1d8e9101455132a26bf6845c0d98b395192c</t>
        </is>
      </c>
      <c r="Y30" t="inlineStr">
        <is>
          <t>src-dotnet\Ape.AiModule.Api\App_Data\ai-config-history\prompts\question_generation\20260717202033000-v8-0f93c23f042c.json</t>
        </is>
      </c>
    </row>
    <row r="31">
      <c r="A31" t="inlineStr">
        <is>
          <t>prompt</t>
        </is>
      </c>
      <c r="B31" t="inlineStr">
        <is>
          <t>QuestionGenerationRepair</t>
        </is>
      </c>
      <c r="C31" t="inlineStr">
        <is>
          <t>question_generation_repair</t>
        </is>
      </c>
      <c r="D31" t="inlineStr">
        <is>
          <t>question_generation_repair::v1::626ecd234306</t>
        </is>
      </c>
      <c r="E31" t="inlineStr"/>
      <c r="F31" t="inlineStr">
        <is>
          <t>active</t>
        </is>
      </c>
      <c r="G31" t="inlineStr"/>
      <c r="H31" t="inlineStr"/>
      <c r="I31" t="inlineStr"/>
      <c r="J31" t="inlineStr">
        <is>
          <t>2026-07-17T20:20:33.0000000Z</t>
        </is>
      </c>
      <c r="K31" t="inlineStr"/>
      <c r="L31" t="inlineStr">
        <is>
          <t>update FE/PE question generation prompt quality</t>
        </is>
      </c>
      <c r="M31" t="inlineStr">
        <is>
          <t>Initial snapshot imported from git history.</t>
        </is>
      </c>
      <c r="N31" t="inlineStr"/>
      <c r="O31" t="inlineStr"/>
      <c r="P31" t="inlineStr"/>
      <c r="Q31" t="inlineStr"/>
      <c r="R31" t="inlineStr"/>
      <c r="S31" t="inlineStr"/>
      <c r="T31" t="inlineStr"/>
      <c r="U31" t="inlineStr"/>
      <c r="V31" t="inlineStr"/>
      <c r="W31" t="inlineStr"/>
      <c r="X31" t="inlineStr">
        <is>
          <t>414b1d8e9101455132a26bf6845c0d98b395192c</t>
        </is>
      </c>
      <c r="Y31" t="inlineStr">
        <is>
          <t>src-dotnet\Ape.AiModule.Api\App_Data\ai-config-history\prompts\question_generation_repair\20260717202033000-v1-626ecd234306.json</t>
        </is>
      </c>
    </row>
    <row r="32">
      <c r="A32" t="inlineStr">
        <is>
          <t>prompt</t>
        </is>
      </c>
      <c r="B32" t="inlineStr">
        <is>
          <t>QuestionReview</t>
        </is>
      </c>
      <c r="C32" t="inlineStr">
        <is>
          <t>question_review</t>
        </is>
      </c>
      <c r="D32" t="inlineStr">
        <is>
          <t>question_review::v2::89a083828ad4</t>
        </is>
      </c>
      <c r="E32" t="inlineStr"/>
      <c r="F32" t="inlineStr">
        <is>
          <t>historical</t>
        </is>
      </c>
      <c r="G32" t="inlineStr"/>
      <c r="H32" t="inlineStr"/>
      <c r="I32" t="inlineStr"/>
      <c r="J32" t="inlineStr">
        <is>
          <t>2026-07-16T06:59:08.0000000Z</t>
        </is>
      </c>
      <c r="K32" t="inlineStr"/>
      <c r="L32" t="inlineStr">
        <is>
          <t>Add AI module prototype, operator UI, and docs</t>
        </is>
      </c>
      <c r="M32" t="inlineStr">
        <is>
          <t>Initial snapshot imported from git history.</t>
        </is>
      </c>
      <c r="N32" t="inlineStr"/>
      <c r="O32" t="inlineStr"/>
      <c r="P32" t="inlineStr"/>
      <c r="Q32" t="inlineStr"/>
      <c r="R32" t="inlineStr"/>
      <c r="S32" t="inlineStr"/>
      <c r="T32" t="inlineStr"/>
      <c r="U32" t="inlineStr"/>
      <c r="V32" t="inlineStr"/>
      <c r="W32" t="inlineStr"/>
      <c r="X32" t="inlineStr">
        <is>
          <t>511aa50726eca82952abff8f8b29642d20a4d019</t>
        </is>
      </c>
      <c r="Y32" t="inlineStr">
        <is>
          <t>src-dotnet\Ape.AiModule.Api\App_Data\ai-config-history\prompts\question_review\20260716065908000-v2-89a083828ad4.json</t>
        </is>
      </c>
    </row>
    <row r="33">
      <c r="A33" t="inlineStr">
        <is>
          <t>prompt</t>
        </is>
      </c>
      <c r="B33" t="inlineStr">
        <is>
          <t>QuestionReview</t>
        </is>
      </c>
      <c r="C33" t="inlineStr">
        <is>
          <t>question_review</t>
        </is>
      </c>
      <c r="D33" t="inlineStr">
        <is>
          <t>question_review::v4::b5c616015a5d</t>
        </is>
      </c>
      <c r="E33" t="inlineStr">
        <is>
          <t>question_review::v2::89a083828ad4</t>
        </is>
      </c>
      <c r="F33" t="inlineStr">
        <is>
          <t>historical</t>
        </is>
      </c>
      <c r="G33" t="inlineStr"/>
      <c r="H33" t="inlineStr"/>
      <c r="I33" t="inlineStr"/>
      <c r="J33" t="inlineStr">
        <is>
          <t>2026-07-17T19:00:42.0000000Z</t>
        </is>
      </c>
      <c r="K33" t="inlineStr"/>
      <c r="L33" t="inlineStr">
        <is>
          <t>fix ai module</t>
        </is>
      </c>
      <c r="M33" t="inlineStr">
        <is>
          <t>Changed fields: SystemPrompt, UserPrompt, Version</t>
        </is>
      </c>
      <c r="N33" t="inlineStr"/>
      <c r="O33" t="inlineStr"/>
      <c r="P33" t="inlineStr"/>
      <c r="Q33" t="inlineStr"/>
      <c r="R33" t="inlineStr"/>
      <c r="S33" t="inlineStr"/>
      <c r="T33" t="inlineStr"/>
      <c r="U33" t="inlineStr"/>
      <c r="V33" t="inlineStr"/>
      <c r="W33" t="inlineStr"/>
      <c r="X33" t="inlineStr">
        <is>
          <t>f79e31c968a9e91132d26175ec5fddd520c6cafb</t>
        </is>
      </c>
      <c r="Y33" t="inlineStr">
        <is>
          <t>src-dotnet\Ape.AiModule.Api\App_Data\ai-config-history\prompts\question_review\20260717190042000-v4-b5c616015a5d.json</t>
        </is>
      </c>
    </row>
    <row r="34">
      <c r="A34" t="inlineStr">
        <is>
          <t>prompt</t>
        </is>
      </c>
      <c r="B34" t="inlineStr">
        <is>
          <t>QuestionReview</t>
        </is>
      </c>
      <c r="C34" t="inlineStr">
        <is>
          <t>question_review</t>
        </is>
      </c>
      <c r="D34" t="inlineStr">
        <is>
          <t>question_review::v7::2888728ef063</t>
        </is>
      </c>
      <c r="E34" t="inlineStr">
        <is>
          <t>question_review::v4::b5c616015a5d</t>
        </is>
      </c>
      <c r="F34" t="inlineStr">
        <is>
          <t>active</t>
        </is>
      </c>
      <c r="G34" t="inlineStr"/>
      <c r="H34" t="inlineStr"/>
      <c r="I34" t="inlineStr"/>
      <c r="J34" t="inlineStr">
        <is>
          <t>2026-07-17T20:20:33.0000000Z</t>
        </is>
      </c>
      <c r="K34" t="inlineStr"/>
      <c r="L34" t="inlineStr">
        <is>
          <t>update FE/PE question generation prompt quality</t>
        </is>
      </c>
      <c r="M34" t="inlineStr">
        <is>
          <t>Changed fields: SystemPrompt, UpdatedAt, UserPrompt, Version</t>
        </is>
      </c>
      <c r="N34" t="inlineStr"/>
      <c r="O34" t="inlineStr"/>
      <c r="P34" t="inlineStr"/>
      <c r="Q34" t="inlineStr"/>
      <c r="R34" t="inlineStr"/>
      <c r="S34" t="inlineStr"/>
      <c r="T34" t="inlineStr"/>
      <c r="U34" t="inlineStr"/>
      <c r="V34" t="inlineStr"/>
      <c r="W34" t="inlineStr"/>
      <c r="X34" t="inlineStr">
        <is>
          <t>414b1d8e9101455132a26bf6845c0d98b395192c</t>
        </is>
      </c>
      <c r="Y34" t="inlineStr">
        <is>
          <t>src-dotnet\Ape.AiModule.Api\App_Data\ai-config-history\prompts\question_review\20260717202033000-v7-2888728ef063.json</t>
        </is>
      </c>
    </row>
    <row r="35">
      <c r="A35" t="inlineStr">
        <is>
          <t>rubric</t>
        </is>
      </c>
      <c r="B35" t="inlineStr">
        <is>
          <t>CodeMentor</t>
        </is>
      </c>
      <c r="C35" t="inlineStr">
        <is>
          <t>CODE_MENTOR</t>
        </is>
      </c>
      <c r="D35" t="inlineStr">
        <is>
          <t>CODE_MENTOR::v1::75c79c3382fd</t>
        </is>
      </c>
      <c r="E35" t="inlineStr"/>
      <c r="F35" t="inlineStr">
        <is>
          <t>active</t>
        </is>
      </c>
      <c r="G35" t="inlineStr"/>
      <c r="H35" t="inlineStr"/>
      <c r="I35" t="inlineStr"/>
      <c r="J35" t="inlineStr">
        <is>
          <t>2026-07-16T06:59:08.0000000Z</t>
        </is>
      </c>
      <c r="K35" t="inlineStr"/>
      <c r="L35" t="inlineStr">
        <is>
          <t>Add AI module prototype, operator UI, and docs</t>
        </is>
      </c>
      <c r="M35" t="inlineStr">
        <is>
          <t>Initial snapshot imported from git history.</t>
        </is>
      </c>
      <c r="N35" t="inlineStr"/>
      <c r="O35" t="inlineStr"/>
      <c r="P35" t="inlineStr"/>
      <c r="Q35" t="inlineStr"/>
      <c r="R35" t="inlineStr"/>
      <c r="S35" t="inlineStr"/>
      <c r="T35" t="inlineStr"/>
      <c r="U35" t="inlineStr"/>
      <c r="V35" t="inlineStr"/>
      <c r="W35" t="inlineStr"/>
      <c r="X35" t="inlineStr">
        <is>
          <t>511aa50726eca82952abff8f8b29642d20a4d019</t>
        </is>
      </c>
      <c r="Y35" t="inlineStr">
        <is>
          <t>src-dotnet\Ape.AiModule.Api\App_Data\ai-config-history\rubrics\CODE_MENTOR\20260716065908000-v1-75c79c3382fd.json</t>
        </is>
      </c>
    </row>
    <row r="36">
      <c r="A36" t="inlineStr">
        <is>
          <t>rubric</t>
        </is>
      </c>
      <c r="B36" t="inlineStr"/>
      <c r="C36" t="inlineStr">
        <is>
          <t>C_FE</t>
        </is>
      </c>
      <c r="D36" t="inlineStr">
        <is>
          <t>C_FE::v1::908f93782939</t>
        </is>
      </c>
      <c r="E36" t="inlineStr"/>
      <c r="F36" t="inlineStr">
        <is>
          <t>active</t>
        </is>
      </c>
      <c r="G36" t="inlineStr"/>
      <c r="H36" t="inlineStr">
        <is>
          <t>C</t>
        </is>
      </c>
      <c r="I36" t="inlineStr">
        <is>
          <t>FE</t>
        </is>
      </c>
      <c r="J36" t="inlineStr">
        <is>
          <t>2026-07-16T06:59:08.0000000Z</t>
        </is>
      </c>
      <c r="K36" t="inlineStr"/>
      <c r="L36" t="inlineStr">
        <is>
          <t>Add AI module prototype, operator UI, and docs</t>
        </is>
      </c>
      <c r="M36" t="inlineStr">
        <is>
          <t>Initial snapshot imported from git history.</t>
        </is>
      </c>
      <c r="N36" t="inlineStr"/>
      <c r="O36" t="inlineStr"/>
      <c r="P36" t="inlineStr"/>
      <c r="Q36" t="inlineStr"/>
      <c r="R36" t="inlineStr"/>
      <c r="S36" t="inlineStr"/>
      <c r="T36" t="inlineStr"/>
      <c r="U36" t="inlineStr"/>
      <c r="V36" t="inlineStr"/>
      <c r="W36" t="inlineStr"/>
      <c r="X36" t="inlineStr">
        <is>
          <t>511aa50726eca82952abff8f8b29642d20a4d019</t>
        </is>
      </c>
      <c r="Y36" t="inlineStr">
        <is>
          <t>src-dotnet\Ape.AiModule.Api\App_Data\ai-config-history\rubrics\C_FE\20260716065908000-v1-908f93782939.json</t>
        </is>
      </c>
    </row>
    <row r="37">
      <c r="A37" t="inlineStr">
        <is>
          <t>rubric</t>
        </is>
      </c>
      <c r="B37" t="inlineStr"/>
      <c r="C37" t="inlineStr">
        <is>
          <t>C_PE</t>
        </is>
      </c>
      <c r="D37" t="inlineStr">
        <is>
          <t>C_PE::v1::2a85a35d6fd9</t>
        </is>
      </c>
      <c r="E37" t="inlineStr"/>
      <c r="F37" t="inlineStr">
        <is>
          <t>historical</t>
        </is>
      </c>
      <c r="G37" t="inlineStr"/>
      <c r="H37" t="inlineStr">
        <is>
          <t>C</t>
        </is>
      </c>
      <c r="I37" t="inlineStr">
        <is>
          <t>PE</t>
        </is>
      </c>
      <c r="J37" t="inlineStr">
        <is>
          <t>2026-07-16T06:59:08.0000000Z</t>
        </is>
      </c>
      <c r="K37" t="inlineStr"/>
      <c r="L37" t="inlineStr">
        <is>
          <t>Add AI module prototype, operator UI, and docs</t>
        </is>
      </c>
      <c r="M37" t="inlineStr">
        <is>
          <t>Initial snapshot imported from git history.</t>
        </is>
      </c>
      <c r="N37" t="inlineStr"/>
      <c r="O37" t="inlineStr"/>
      <c r="P37" t="inlineStr"/>
      <c r="Q37" t="inlineStr"/>
      <c r="R37" t="inlineStr"/>
      <c r="S37" t="inlineStr"/>
      <c r="T37" t="inlineStr"/>
      <c r="U37" t="inlineStr"/>
      <c r="V37" t="inlineStr"/>
      <c r="W37" t="inlineStr"/>
      <c r="X37" t="inlineStr">
        <is>
          <t>511aa50726eca82952abff8f8b29642d20a4d019</t>
        </is>
      </c>
      <c r="Y37" t="inlineStr">
        <is>
          <t>src-dotnet\Ape.AiModule.Api\App_Data\ai-config-history\rubrics\C_PE\20260716065908000-v1-2a85a35d6fd9.json</t>
        </is>
      </c>
    </row>
    <row r="38">
      <c r="A38" t="inlineStr">
        <is>
          <t>rubric</t>
        </is>
      </c>
      <c r="B38" t="inlineStr"/>
      <c r="C38" t="inlineStr">
        <is>
          <t>C_PE</t>
        </is>
      </c>
      <c r="D38" t="inlineStr">
        <is>
          <t>C_PE::v1::56983f35f18c</t>
        </is>
      </c>
      <c r="E38" t="inlineStr">
        <is>
          <t>C_PE::v1::2a85a35d6fd9</t>
        </is>
      </c>
      <c r="F38" t="inlineStr">
        <is>
          <t>active</t>
        </is>
      </c>
      <c r="G38" t="inlineStr"/>
      <c r="H38" t="inlineStr">
        <is>
          <t>C</t>
        </is>
      </c>
      <c r="I38" t="inlineStr">
        <is>
          <t>PE</t>
        </is>
      </c>
      <c r="J38" t="inlineStr">
        <is>
          <t>2026-07-17T20:20:33.0000000Z</t>
        </is>
      </c>
      <c r="K38" t="inlineStr"/>
      <c r="L38" t="inlineStr">
        <is>
          <t>update FE/PE question generation prompt quality</t>
        </is>
      </c>
      <c r="M38" t="inlineStr">
        <is>
          <t>Changed fields: few_shot_examples, quality_dimensions, quality_exemplars, quality_red_flags, quality_regeneration_hints</t>
        </is>
      </c>
      <c r="N38" t="inlineStr"/>
      <c r="O38" t="inlineStr"/>
      <c r="P38" t="inlineStr"/>
      <c r="Q38" t="inlineStr"/>
      <c r="R38" t="inlineStr"/>
      <c r="S38" t="inlineStr"/>
      <c r="T38" t="inlineStr"/>
      <c r="U38" t="inlineStr"/>
      <c r="V38" t="inlineStr"/>
      <c r="W38" t="inlineStr"/>
      <c r="X38" t="inlineStr">
        <is>
          <t>414b1d8e9101455132a26bf6845c0d98b395192c</t>
        </is>
      </c>
      <c r="Y38" t="inlineStr">
        <is>
          <t>src-dotnet\Ape.AiModule.Api\App_Data\ai-config-history\rubrics\C_PE\20260717202033000-v1-56983f35f18c.json</t>
        </is>
      </c>
    </row>
    <row r="39">
      <c r="A39" t="inlineStr">
        <is>
          <t>rubric</t>
        </is>
      </c>
      <c r="B39" t="inlineStr"/>
      <c r="C39" t="inlineStr">
        <is>
          <t>DSA_JAVA_FE</t>
        </is>
      </c>
      <c r="D39" t="inlineStr">
        <is>
          <t>DSA_JAVA_FE::v1::d0a365ae9125</t>
        </is>
      </c>
      <c r="E39" t="inlineStr"/>
      <c r="F39" t="inlineStr">
        <is>
          <t>active</t>
        </is>
      </c>
      <c r="G39" t="inlineStr"/>
      <c r="H39" t="inlineStr">
        <is>
          <t>DSA_JAVA</t>
        </is>
      </c>
      <c r="I39" t="inlineStr">
        <is>
          <t>FE</t>
        </is>
      </c>
      <c r="J39" t="inlineStr">
        <is>
          <t>2026-07-16T06:59:08.0000000Z</t>
        </is>
      </c>
      <c r="K39" t="inlineStr"/>
      <c r="L39" t="inlineStr">
        <is>
          <t>Add AI module prototype, operator UI, and docs</t>
        </is>
      </c>
      <c r="M39" t="inlineStr">
        <is>
          <t>Initial snapshot imported from git history.</t>
        </is>
      </c>
      <c r="N39" t="inlineStr"/>
      <c r="O39" t="inlineStr"/>
      <c r="P39" t="inlineStr"/>
      <c r="Q39" t="inlineStr"/>
      <c r="R39" t="inlineStr"/>
      <c r="S39" t="inlineStr"/>
      <c r="T39" t="inlineStr"/>
      <c r="U39" t="inlineStr"/>
      <c r="V39" t="inlineStr"/>
      <c r="W39" t="inlineStr"/>
      <c r="X39" t="inlineStr">
        <is>
          <t>511aa50726eca82952abff8f8b29642d20a4d019</t>
        </is>
      </c>
      <c r="Y39" t="inlineStr">
        <is>
          <t>src-dotnet\Ape.AiModule.Api\App_Data\ai-config-history\rubrics\DSA_JAVA_FE\20260716065908000-v1-d0a365ae9125.json</t>
        </is>
      </c>
    </row>
    <row r="40">
      <c r="A40" t="inlineStr">
        <is>
          <t>rubric</t>
        </is>
      </c>
      <c r="B40" t="inlineStr"/>
      <c r="C40" t="inlineStr">
        <is>
          <t>DSA_JAVA_PE</t>
        </is>
      </c>
      <c r="D40" t="inlineStr">
        <is>
          <t>DSA_JAVA_PE::v1::76ee6bd39f93</t>
        </is>
      </c>
      <c r="E40" t="inlineStr"/>
      <c r="F40" t="inlineStr">
        <is>
          <t>historical</t>
        </is>
      </c>
      <c r="G40" t="inlineStr"/>
      <c r="H40" t="inlineStr">
        <is>
          <t>DSA_JAVA</t>
        </is>
      </c>
      <c r="I40" t="inlineStr">
        <is>
          <t>PE</t>
        </is>
      </c>
      <c r="J40" t="inlineStr">
        <is>
          <t>2026-07-16T06:59:08.0000000Z</t>
        </is>
      </c>
      <c r="K40" t="inlineStr"/>
      <c r="L40" t="inlineStr">
        <is>
          <t>Add AI module prototype, operator UI, and docs</t>
        </is>
      </c>
      <c r="M40" t="inlineStr">
        <is>
          <t>Initial snapshot imported from git history.</t>
        </is>
      </c>
      <c r="N40" t="inlineStr"/>
      <c r="O40" t="inlineStr"/>
      <c r="P40" t="inlineStr"/>
      <c r="Q40" t="inlineStr"/>
      <c r="R40" t="inlineStr"/>
      <c r="S40" t="inlineStr"/>
      <c r="T40" t="inlineStr"/>
      <c r="U40" t="inlineStr"/>
      <c r="V40" t="inlineStr"/>
      <c r="W40" t="inlineStr"/>
      <c r="X40" t="inlineStr">
        <is>
          <t>511aa50726eca82952abff8f8b29642d20a4d019</t>
        </is>
      </c>
      <c r="Y40" t="inlineStr">
        <is>
          <t>src-dotnet\Ape.AiModule.Api\App_Data\ai-config-history\rubrics\DSA_JAVA_PE\20260716065908000-v1-76ee6bd39f93.json</t>
        </is>
      </c>
    </row>
    <row r="41">
      <c r="A41" t="inlineStr">
        <is>
          <t>rubric</t>
        </is>
      </c>
      <c r="B41" t="inlineStr"/>
      <c r="C41" t="inlineStr">
        <is>
          <t>DSA_JAVA_PE</t>
        </is>
      </c>
      <c r="D41" t="inlineStr">
        <is>
          <t>DSA_JAVA_PE::v1::41f3a6e6c99d</t>
        </is>
      </c>
      <c r="E41" t="inlineStr">
        <is>
          <t>DSA_JAVA_PE::v1::76ee6bd39f93</t>
        </is>
      </c>
      <c r="F41" t="inlineStr">
        <is>
          <t>active</t>
        </is>
      </c>
      <c r="G41" t="inlineStr"/>
      <c r="H41" t="inlineStr">
        <is>
          <t>DSA_JAVA</t>
        </is>
      </c>
      <c r="I41" t="inlineStr">
        <is>
          <t>PE</t>
        </is>
      </c>
      <c r="J41" t="inlineStr">
        <is>
          <t>2026-07-17T20:20:33.0000000Z</t>
        </is>
      </c>
      <c r="K41" t="inlineStr"/>
      <c r="L41" t="inlineStr">
        <is>
          <t>update FE/PE question generation prompt quality</t>
        </is>
      </c>
      <c r="M41" t="inlineStr">
        <is>
          <t>Changed fields: few_shot_examples, quality_dimensions, quality_exemplars, quality_red_flags, quality_regeneration_hints</t>
        </is>
      </c>
      <c r="N41" t="inlineStr"/>
      <c r="O41" t="inlineStr"/>
      <c r="P41" t="inlineStr"/>
      <c r="Q41" t="inlineStr"/>
      <c r="R41" t="inlineStr"/>
      <c r="S41" t="inlineStr"/>
      <c r="T41" t="inlineStr"/>
      <c r="U41" t="inlineStr"/>
      <c r="V41" t="inlineStr"/>
      <c r="W41" t="inlineStr"/>
      <c r="X41" t="inlineStr">
        <is>
          <t>414b1d8e9101455132a26bf6845c0d98b395192c</t>
        </is>
      </c>
      <c r="Y41" t="inlineStr">
        <is>
          <t>src-dotnet\Ape.AiModule.Api\App_Data\ai-config-history\rubrics\DSA_JAVA_PE\20260717202033000-v1-41f3a6e6c99d.json</t>
        </is>
      </c>
    </row>
    <row r="42">
      <c r="A42" t="inlineStr">
        <is>
          <t>rubric</t>
        </is>
      </c>
      <c r="B42" t="inlineStr">
        <is>
          <t>EmbeddingTagging</t>
        </is>
      </c>
      <c r="C42" t="inlineStr">
        <is>
          <t>EMBEDDING_TAGGING</t>
        </is>
      </c>
      <c r="D42" t="inlineStr">
        <is>
          <t>EMBEDDING_TAGGING::v1::dc7a2f4accbb</t>
        </is>
      </c>
      <c r="E42" t="inlineStr"/>
      <c r="F42" t="inlineStr">
        <is>
          <t>active</t>
        </is>
      </c>
      <c r="G42" t="inlineStr"/>
      <c r="H42" t="inlineStr"/>
      <c r="I42" t="inlineStr"/>
      <c r="J42" t="inlineStr">
        <is>
          <t>2026-07-16T06:59:08.0000000Z</t>
        </is>
      </c>
      <c r="K42" t="inlineStr"/>
      <c r="L42" t="inlineStr">
        <is>
          <t>Add AI module prototype, operator UI, and docs</t>
        </is>
      </c>
      <c r="M42" t="inlineStr">
        <is>
          <t>Initial snapshot imported from git history.</t>
        </is>
      </c>
      <c r="N42" t="inlineStr"/>
      <c r="O42" t="inlineStr"/>
      <c r="P42" t="inlineStr"/>
      <c r="Q42" t="inlineStr"/>
      <c r="R42" t="inlineStr"/>
      <c r="S42" t="inlineStr"/>
      <c r="T42" t="inlineStr"/>
      <c r="U42" t="inlineStr"/>
      <c r="V42" t="inlineStr"/>
      <c r="W42" t="inlineStr"/>
      <c r="X42" t="inlineStr">
        <is>
          <t>511aa50726eca82952abff8f8b29642d20a4d019</t>
        </is>
      </c>
      <c r="Y42" t="inlineStr">
        <is>
          <t>src-dotnet\Ape.AiModule.Api\App_Data\ai-config-history\rubrics\EMBEDDING_TAGGING\20260716065908000-v1-dc7a2f4accbb.json</t>
        </is>
      </c>
    </row>
    <row r="43">
      <c r="A43" t="inlineStr">
        <is>
          <t>rubric</t>
        </is>
      </c>
      <c r="B43" t="inlineStr">
        <is>
          <t>ExtractedContent</t>
        </is>
      </c>
      <c r="C43" t="inlineStr">
        <is>
          <t>EXTRACTED_CONTENT</t>
        </is>
      </c>
      <c r="D43" t="inlineStr">
        <is>
          <t>EXTRACTED_CONTENT::v1::b0715bc3167c</t>
        </is>
      </c>
      <c r="E43" t="inlineStr"/>
      <c r="F43" t="inlineStr">
        <is>
          <t>active</t>
        </is>
      </c>
      <c r="G43" t="inlineStr"/>
      <c r="H43" t="inlineStr"/>
      <c r="I43" t="inlineStr"/>
      <c r="J43" t="inlineStr">
        <is>
          <t>2026-07-16T06:59:08.0000000Z</t>
        </is>
      </c>
      <c r="K43" t="inlineStr"/>
      <c r="L43" t="inlineStr">
        <is>
          <t>Add AI module prototype, operator UI, and docs</t>
        </is>
      </c>
      <c r="M43" t="inlineStr">
        <is>
          <t>Initial snapshot imported from git history.</t>
        </is>
      </c>
      <c r="N43" t="inlineStr"/>
      <c r="O43" t="inlineStr"/>
      <c r="P43" t="inlineStr"/>
      <c r="Q43" t="inlineStr"/>
      <c r="R43" t="inlineStr"/>
      <c r="S43" t="inlineStr"/>
      <c r="T43" t="inlineStr"/>
      <c r="U43" t="inlineStr"/>
      <c r="V43" t="inlineStr"/>
      <c r="W43" t="inlineStr"/>
      <c r="X43" t="inlineStr">
        <is>
          <t>511aa50726eca82952abff8f8b29642d20a4d019</t>
        </is>
      </c>
      <c r="Y43" t="inlineStr">
        <is>
          <t>src-dotnet\Ape.AiModule.Api\App_Data\ai-config-history\rubrics\EXTRACTED_CONTENT\20260716065908000-v1-b0715bc3167c.json</t>
        </is>
      </c>
    </row>
    <row r="44">
      <c r="A44" t="inlineStr">
        <is>
          <t>rubric</t>
        </is>
      </c>
      <c r="B44" t="inlineStr">
        <is>
          <t>Gatekeeper</t>
        </is>
      </c>
      <c r="C44" t="inlineStr">
        <is>
          <t>GATEKEEPER</t>
        </is>
      </c>
      <c r="D44" t="inlineStr">
        <is>
          <t>GATEKEEPER::v1::98c02657c7cc</t>
        </is>
      </c>
      <c r="E44" t="inlineStr"/>
      <c r="F44" t="inlineStr">
        <is>
          <t>active</t>
        </is>
      </c>
      <c r="G44" t="inlineStr"/>
      <c r="H44" t="inlineStr"/>
      <c r="I44" t="inlineStr"/>
      <c r="J44" t="inlineStr">
        <is>
          <t>2026-07-16T06:59:08.0000000Z</t>
        </is>
      </c>
      <c r="K44" t="inlineStr"/>
      <c r="L44" t="inlineStr">
        <is>
          <t>Add AI module prototype, operator UI, and docs</t>
        </is>
      </c>
      <c r="M44" t="inlineStr">
        <is>
          <t>Initial snapshot imported from git history.</t>
        </is>
      </c>
      <c r="N44" t="inlineStr"/>
      <c r="O44" t="inlineStr"/>
      <c r="P44" t="inlineStr"/>
      <c r="Q44" t="inlineStr"/>
      <c r="R44" t="inlineStr"/>
      <c r="S44" t="inlineStr"/>
      <c r="T44" t="inlineStr"/>
      <c r="U44" t="inlineStr"/>
      <c r="V44" t="inlineStr"/>
      <c r="W44" t="inlineStr"/>
      <c r="X44" t="inlineStr">
        <is>
          <t>511aa50726eca82952abff8f8b29642d20a4d019</t>
        </is>
      </c>
      <c r="Y44" t="inlineStr">
        <is>
          <t>src-dotnet\Ape.AiModule.Api\App_Data\ai-config-history\rubrics\GATEKEEPER\20260716065908000-v1-98c02657c7cc.json</t>
        </is>
      </c>
    </row>
    <row r="45">
      <c r="A45" t="inlineStr">
        <is>
          <t>rubric</t>
        </is>
      </c>
      <c r="B45" t="inlineStr"/>
      <c r="C45" t="inlineStr">
        <is>
          <t>JAVA_OOP_FE</t>
        </is>
      </c>
      <c r="D45" t="inlineStr">
        <is>
          <t>JAVA_OOP_FE::v1::599216cad4a6</t>
        </is>
      </c>
      <c r="E45" t="inlineStr"/>
      <c r="F45" t="inlineStr">
        <is>
          <t>active</t>
        </is>
      </c>
      <c r="G45" t="inlineStr"/>
      <c r="H45" t="inlineStr">
        <is>
          <t>JAVA_OOP</t>
        </is>
      </c>
      <c r="I45" t="inlineStr">
        <is>
          <t>FE</t>
        </is>
      </c>
      <c r="J45" t="inlineStr">
        <is>
          <t>2026-07-16T06:59:08.0000000Z</t>
        </is>
      </c>
      <c r="K45" t="inlineStr"/>
      <c r="L45" t="inlineStr">
        <is>
          <t>Add AI module prototype, operator UI, and docs</t>
        </is>
      </c>
      <c r="M45" t="inlineStr">
        <is>
          <t>Initial snapshot imported from git history.</t>
        </is>
      </c>
      <c r="N45" t="inlineStr"/>
      <c r="O45" t="inlineStr"/>
      <c r="P45" t="inlineStr"/>
      <c r="Q45" t="inlineStr"/>
      <c r="R45" t="inlineStr"/>
      <c r="S45" t="inlineStr"/>
      <c r="T45" t="inlineStr"/>
      <c r="U45" t="inlineStr"/>
      <c r="V45" t="inlineStr"/>
      <c r="W45" t="inlineStr"/>
      <c r="X45" t="inlineStr">
        <is>
          <t>511aa50726eca82952abff8f8b29642d20a4d019</t>
        </is>
      </c>
      <c r="Y45" t="inlineStr">
        <is>
          <t>src-dotnet\Ape.AiModule.Api\App_Data\ai-config-history\rubrics\JAVA_OOP_FE\20260716065908000-v1-599216cad4a6.json</t>
        </is>
      </c>
    </row>
    <row r="46">
      <c r="A46" t="inlineStr">
        <is>
          <t>rubric</t>
        </is>
      </c>
      <c r="B46" t="inlineStr"/>
      <c r="C46" t="inlineStr">
        <is>
          <t>JAVA_OOP_PE</t>
        </is>
      </c>
      <c r="D46" t="inlineStr">
        <is>
          <t>JAVA_OOP_PE::v1::4d549204d4ea</t>
        </is>
      </c>
      <c r="E46" t="inlineStr"/>
      <c r="F46" t="inlineStr">
        <is>
          <t>historical</t>
        </is>
      </c>
      <c r="G46" t="inlineStr"/>
      <c r="H46" t="inlineStr">
        <is>
          <t>JAVA_OOP</t>
        </is>
      </c>
      <c r="I46" t="inlineStr">
        <is>
          <t>PE</t>
        </is>
      </c>
      <c r="J46" t="inlineStr">
        <is>
          <t>2026-07-16T06:59:08.0000000Z</t>
        </is>
      </c>
      <c r="K46" t="inlineStr"/>
      <c r="L46" t="inlineStr">
        <is>
          <t>Add AI module prototype, operator UI, and docs</t>
        </is>
      </c>
      <c r="M46" t="inlineStr">
        <is>
          <t>Initial snapshot imported from git history.</t>
        </is>
      </c>
      <c r="N46" t="inlineStr"/>
      <c r="O46" t="inlineStr"/>
      <c r="P46" t="inlineStr"/>
      <c r="Q46" t="inlineStr"/>
      <c r="R46" t="inlineStr"/>
      <c r="S46" t="inlineStr"/>
      <c r="T46" t="inlineStr"/>
      <c r="U46" t="inlineStr"/>
      <c r="V46" t="inlineStr"/>
      <c r="W46" t="inlineStr"/>
      <c r="X46" t="inlineStr">
        <is>
          <t>511aa50726eca82952abff8f8b29642d20a4d019</t>
        </is>
      </c>
      <c r="Y46" t="inlineStr">
        <is>
          <t>src-dotnet\Ape.AiModule.Api\App_Data\ai-config-history\rubrics\JAVA_OOP_PE\20260716065908000-v1-4d549204d4ea.json</t>
        </is>
      </c>
    </row>
    <row r="47">
      <c r="A47" t="inlineStr">
        <is>
          <t>rubric</t>
        </is>
      </c>
      <c r="B47" t="inlineStr"/>
      <c r="C47" t="inlineStr">
        <is>
          <t>JAVA_OOP_PE</t>
        </is>
      </c>
      <c r="D47" t="inlineStr">
        <is>
          <t>JAVA_OOP_PE::v1::c2d838d539d9</t>
        </is>
      </c>
      <c r="E47" t="inlineStr">
        <is>
          <t>JAVA_OOP_PE::v1::4d549204d4ea</t>
        </is>
      </c>
      <c r="F47" t="inlineStr">
        <is>
          <t>active</t>
        </is>
      </c>
      <c r="G47" t="inlineStr"/>
      <c r="H47" t="inlineStr">
        <is>
          <t>JAVA_OOP</t>
        </is>
      </c>
      <c r="I47" t="inlineStr">
        <is>
          <t>PE</t>
        </is>
      </c>
      <c r="J47" t="inlineStr">
        <is>
          <t>2026-07-17T20:20:33.0000000Z</t>
        </is>
      </c>
      <c r="K47" t="inlineStr"/>
      <c r="L47" t="inlineStr">
        <is>
          <t>update FE/PE question generation prompt quality</t>
        </is>
      </c>
      <c r="M47" t="inlineStr">
        <is>
          <t>Changed fields: few_shot_examples, quality_dimensions, quality_exemplars, quality_red_flags, quality_regeneration_hints</t>
        </is>
      </c>
      <c r="N47" t="inlineStr"/>
      <c r="O47" t="inlineStr"/>
      <c r="P47" t="inlineStr"/>
      <c r="Q47" t="inlineStr"/>
      <c r="R47" t="inlineStr"/>
      <c r="S47" t="inlineStr"/>
      <c r="T47" t="inlineStr"/>
      <c r="U47" t="inlineStr"/>
      <c r="V47" t="inlineStr"/>
      <c r="W47" t="inlineStr"/>
      <c r="X47" t="inlineStr">
        <is>
          <t>414b1d8e9101455132a26bf6845c0d98b395192c</t>
        </is>
      </c>
      <c r="Y47" t="inlineStr">
        <is>
          <t>src-dotnet\Ape.AiModule.Api\App_Data\ai-config-history\rubrics\JAVA_OOP_PE\20260717202033000-v1-c2d838d539d9.json</t>
        </is>
      </c>
    </row>
  </sheetData>
  <autoFilter ref="A1:Y47"/>
  <dataValidations count="5">
    <dataValidation sqref="A2:A500" showDropDown="0" showInputMessage="0" showErrorMessage="0" allowBlank="1" type="list">
      <formula1>=Lists!$M$2:$M$5</formula1>
    </dataValidation>
    <dataValidation sqref="F2:F500" showDropDown="0" showInputMessage="0" showErrorMessage="0" allowBlank="1" type="list">
      <formula1>=Lists!$N$2:$N$5</formula1>
    </dataValidation>
    <dataValidation sqref="H2:H500" showDropDown="0" showInputMessage="0" showErrorMessage="0" allowBlank="1" type="list">
      <formula1>=Lists!$A$2:$A$4</formula1>
    </dataValidation>
    <dataValidation sqref="I2:I500" showDropDown="0" showInputMessage="0" showErrorMessage="0" allowBlank="1" type="list">
      <formula1>=Lists!$G$2:$G$4</formula1>
    </dataValidation>
    <dataValidation sqref="W2:W500" showDropDown="0" showInputMessage="0" showErrorMessage="0" allowBlank="1" type="list">
      <formula1>=Lists!$O$2:$O$5</formula1>
    </dataValidation>
  </dataValidations>
  <pageMargins left="0.75" right="0.75" top="1" bottom="1" header="0.5" footer="0.5"/>
</worksheet>
</file>

<file path=xl/worksheets/sheet7.xml><?xml version="1.0" encoding="utf-8"?>
<worksheet xmlns="http://schemas.openxmlformats.org/spreadsheetml/2006/main">
  <sheetPr>
    <tabColor rgb="009E480E"/>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3" customWidth="1" min="1" max="1"/>
    <col width="29" customWidth="1" min="2" max="2"/>
    <col width="9" customWidth="1" min="3" max="3"/>
    <col width="48" customWidth="1" min="4" max="4"/>
    <col width="14" customWidth="1" min="5" max="5"/>
    <col width="15" customWidth="1" min="6" max="6"/>
    <col width="8" customWidth="1" min="7" max="7"/>
    <col width="19" customWidth="1" min="8" max="8"/>
    <col width="17" customWidth="1" min="9" max="9"/>
    <col width="35" customWidth="1" min="10" max="10"/>
    <col width="48" customWidth="1" min="11" max="11"/>
  </cols>
  <sheetData>
    <row r="1">
      <c r="A1" s="8" t="inlineStr">
        <is>
          <t>config_type</t>
        </is>
      </c>
      <c r="B1" s="8" t="inlineStr">
        <is>
          <t>config_key</t>
        </is>
      </c>
      <c r="C1" s="8" t="inlineStr">
        <is>
          <t>version</t>
        </is>
      </c>
      <c r="D1" s="8" t="inlineStr">
        <is>
          <t>name_or_description</t>
        </is>
      </c>
      <c r="E1" s="8" t="inlineStr">
        <is>
          <t>subject_code</t>
        </is>
      </c>
      <c r="F1" s="8" t="inlineStr">
        <is>
          <t>question_type</t>
        </is>
      </c>
      <c r="G1" s="8" t="inlineStr">
        <is>
          <t>status</t>
        </is>
      </c>
      <c r="H1" s="8" t="inlineStr">
        <is>
          <t>system_prompt_len</t>
        </is>
      </c>
      <c r="I1" s="8" t="inlineStr">
        <is>
          <t>user_prompt_len</t>
        </is>
      </c>
      <c r="J1" s="8" t="inlineStr">
        <is>
          <t>updated_at</t>
        </is>
      </c>
      <c r="K1" s="8" t="inlineStr">
        <is>
          <t>source_file</t>
        </is>
      </c>
    </row>
    <row r="2">
      <c r="A2" t="inlineStr">
        <is>
          <t>groundtruth</t>
        </is>
      </c>
      <c r="B2" t="inlineStr">
        <is>
          <t>CODE_MENTOR_CORE</t>
        </is>
      </c>
      <c r="C2" t="inlineStr">
        <is>
          <t>v1</t>
        </is>
      </c>
      <c r="D2" t="inlineStr">
        <is>
          <t>Core mentor regression cases covering representative student mistakes in C and Java.</t>
        </is>
      </c>
      <c r="E2" t="inlineStr"/>
      <c r="F2" t="inlineStr"/>
      <c r="G2" t="inlineStr">
        <is>
          <t>active</t>
        </is>
      </c>
      <c r="H2" t="inlineStr"/>
      <c r="I2" t="inlineStr"/>
      <c r="J2" t="inlineStr"/>
      <c r="K2" t="inlineStr">
        <is>
          <t>src-dotnet/Ape.AiModule.Api/App_Data/ai-groundtruth/CODE_MENTOR_CORE.json</t>
        </is>
      </c>
    </row>
    <row r="3">
      <c r="A3" t="inlineStr">
        <is>
          <t>groundtruth</t>
        </is>
      </c>
      <c r="B3" t="inlineStr">
        <is>
          <t>EMBEDDING_TAGGING_CORE</t>
        </is>
      </c>
      <c r="C3" t="inlineStr">
        <is>
          <t>v1</t>
        </is>
      </c>
      <c r="D3" t="inlineStr">
        <is>
          <t>Core regression samples for validating chunk metadata structure and expected topic tagging.</t>
        </is>
      </c>
      <c r="E3" t="inlineStr"/>
      <c r="F3" t="inlineStr"/>
      <c r="G3" t="inlineStr">
        <is>
          <t>active</t>
        </is>
      </c>
      <c r="H3" t="inlineStr"/>
      <c r="I3" t="inlineStr"/>
      <c r="J3" t="inlineStr"/>
      <c r="K3" t="inlineStr">
        <is>
          <t>src-dotnet/Ape.AiModule.Api/App_Data/ai-groundtruth/EMBEDDING_TAGGING_CORE.json</t>
        </is>
      </c>
    </row>
    <row r="4">
      <c r="A4" t="inlineStr">
        <is>
          <t>groundtruth</t>
        </is>
      </c>
      <c r="B4" t="inlineStr">
        <is>
          <t>EXTRACTED_CONTENT_CORE</t>
        </is>
      </c>
      <c r="C4" t="inlineStr">
        <is>
          <t>v1</t>
        </is>
      </c>
      <c r="D4" t="inlineStr">
        <is>
          <t>Core regression cases for text-only, image-only, and mixed extraction scenarios.</t>
        </is>
      </c>
      <c r="E4" t="inlineStr"/>
      <c r="F4" t="inlineStr"/>
      <c r="G4" t="inlineStr">
        <is>
          <t>active</t>
        </is>
      </c>
      <c r="H4" t="inlineStr"/>
      <c r="I4" t="inlineStr"/>
      <c r="J4" t="inlineStr"/>
      <c r="K4" t="inlineStr">
        <is>
          <t>src-dotnet/Ape.AiModule.Api/App_Data/ai-groundtruth/EXTRACTED_CONTENT_CORE.json</t>
        </is>
      </c>
    </row>
    <row r="5">
      <c r="A5" t="inlineStr">
        <is>
          <t>groundtruth</t>
        </is>
      </c>
      <c r="B5" t="inlineStr">
        <is>
          <t>GATEKEEPER_CORE</t>
        </is>
      </c>
      <c r="C5" t="inlineStr">
        <is>
          <t>v1</t>
        </is>
      </c>
      <c r="D5" t="inlineStr">
        <is>
          <t>Core regression cases for whitelist classification of supported academic documents.</t>
        </is>
      </c>
      <c r="E5" t="inlineStr"/>
      <c r="F5" t="inlineStr"/>
      <c r="G5" t="inlineStr">
        <is>
          <t>active</t>
        </is>
      </c>
      <c r="H5" t="inlineStr"/>
      <c r="I5" t="inlineStr"/>
      <c r="J5" t="inlineStr"/>
      <c r="K5" t="inlineStr">
        <is>
          <t>src-dotnet/Ape.AiModule.Api/App_Data/ai-groundtruth/GATEKEEPER_CORE.json</t>
        </is>
      </c>
    </row>
    <row r="6">
      <c r="A6" t="inlineStr">
        <is>
          <t>groundtruth</t>
        </is>
      </c>
      <c r="B6" t="inlineStr">
        <is>
          <t>QGEN_C_FE</t>
        </is>
      </c>
      <c r="C6" t="inlineStr">
        <is>
          <t>v1</t>
        </is>
      </c>
      <c r="D6" t="inlineStr">
        <is>
          <t>QuestionGenerationReview</t>
        </is>
      </c>
      <c r="E6" t="inlineStr">
        <is>
          <t>C</t>
        </is>
      </c>
      <c r="F6" t="inlineStr">
        <is>
          <t>FE</t>
        </is>
      </c>
      <c r="G6" t="inlineStr">
        <is>
          <t>active</t>
        </is>
      </c>
      <c r="H6" t="inlineStr"/>
      <c r="I6" t="inlineStr"/>
      <c r="J6" t="inlineStr"/>
      <c r="K6" t="inlineStr">
        <is>
          <t>src-dotnet/Ape.AiModule.Api/App_Data/ai-groundtruth/QGEN_C_FE.json</t>
        </is>
      </c>
    </row>
    <row r="7">
      <c r="A7" t="inlineStr">
        <is>
          <t>groundtruth</t>
        </is>
      </c>
      <c r="B7" t="inlineStr">
        <is>
          <t>QGEN_C_PE</t>
        </is>
      </c>
      <c r="C7" t="inlineStr">
        <is>
          <t>v1</t>
        </is>
      </c>
      <c r="D7" t="inlineStr">
        <is>
          <t>QuestionGenerationReview</t>
        </is>
      </c>
      <c r="E7" t="inlineStr">
        <is>
          <t>C</t>
        </is>
      </c>
      <c r="F7" t="inlineStr">
        <is>
          <t>PE</t>
        </is>
      </c>
      <c r="G7" t="inlineStr">
        <is>
          <t>active</t>
        </is>
      </c>
      <c r="H7" t="inlineStr"/>
      <c r="I7" t="inlineStr"/>
      <c r="J7" t="inlineStr"/>
      <c r="K7" t="inlineStr">
        <is>
          <t>src-dotnet/Ape.AiModule.Api/App_Data/ai-groundtruth/QGEN_C_PE.json</t>
        </is>
      </c>
    </row>
    <row r="8">
      <c r="A8" t="inlineStr">
        <is>
          <t>groundtruth</t>
        </is>
      </c>
      <c r="B8" t="inlineStr">
        <is>
          <t>QGEN_DSA_JAVA_FE</t>
        </is>
      </c>
      <c r="C8" t="inlineStr">
        <is>
          <t>v1</t>
        </is>
      </c>
      <c r="D8" t="inlineStr">
        <is>
          <t>QuestionGenerationReview</t>
        </is>
      </c>
      <c r="E8" t="inlineStr">
        <is>
          <t>DSA_JAVA</t>
        </is>
      </c>
      <c r="F8" t="inlineStr">
        <is>
          <t>FE</t>
        </is>
      </c>
      <c r="G8" t="inlineStr">
        <is>
          <t>active</t>
        </is>
      </c>
      <c r="H8" t="inlineStr"/>
      <c r="I8" t="inlineStr"/>
      <c r="J8" t="inlineStr"/>
      <c r="K8" t="inlineStr">
        <is>
          <t>src-dotnet/Ape.AiModule.Api/App_Data/ai-groundtruth/QGEN_DSA_JAVA_FE.json</t>
        </is>
      </c>
    </row>
    <row r="9">
      <c r="A9" t="inlineStr">
        <is>
          <t>groundtruth</t>
        </is>
      </c>
      <c r="B9" t="inlineStr">
        <is>
          <t>QGEN_DSA_JAVA_PE</t>
        </is>
      </c>
      <c r="C9" t="inlineStr">
        <is>
          <t>v1</t>
        </is>
      </c>
      <c r="D9" t="inlineStr">
        <is>
          <t>QuestionGenerationReview</t>
        </is>
      </c>
      <c r="E9" t="inlineStr">
        <is>
          <t>DSA_JAVA</t>
        </is>
      </c>
      <c r="F9" t="inlineStr">
        <is>
          <t>PE</t>
        </is>
      </c>
      <c r="G9" t="inlineStr">
        <is>
          <t>active</t>
        </is>
      </c>
      <c r="H9" t="inlineStr"/>
      <c r="I9" t="inlineStr"/>
      <c r="J9" t="inlineStr"/>
      <c r="K9" t="inlineStr">
        <is>
          <t>src-dotnet/Ape.AiModule.Api/App_Data/ai-groundtruth/QGEN_DSA_JAVA_PE.json</t>
        </is>
      </c>
    </row>
    <row r="10">
      <c r="A10" t="inlineStr">
        <is>
          <t>groundtruth</t>
        </is>
      </c>
      <c r="B10" t="inlineStr">
        <is>
          <t>QGEN_JAVA_OOP_FE</t>
        </is>
      </c>
      <c r="C10" t="inlineStr">
        <is>
          <t>v1</t>
        </is>
      </c>
      <c r="D10" t="inlineStr">
        <is>
          <t>QuestionGenerationReview</t>
        </is>
      </c>
      <c r="E10" t="inlineStr">
        <is>
          <t>JAVA_OOP</t>
        </is>
      </c>
      <c r="F10" t="inlineStr">
        <is>
          <t>FE</t>
        </is>
      </c>
      <c r="G10" t="inlineStr">
        <is>
          <t>active</t>
        </is>
      </c>
      <c r="H10" t="inlineStr"/>
      <c r="I10" t="inlineStr"/>
      <c r="J10" t="inlineStr"/>
      <c r="K10" t="inlineStr">
        <is>
          <t>src-dotnet/Ape.AiModule.Api/App_Data/ai-groundtruth/QGEN_JAVA_OOP_FE.json</t>
        </is>
      </c>
    </row>
    <row r="11">
      <c r="A11" t="inlineStr">
        <is>
          <t>groundtruth</t>
        </is>
      </c>
      <c r="B11" t="inlineStr">
        <is>
          <t>QGEN_JAVA_OOP_PE</t>
        </is>
      </c>
      <c r="C11" t="inlineStr">
        <is>
          <t>v1</t>
        </is>
      </c>
      <c r="D11" t="inlineStr">
        <is>
          <t>QuestionGenerationReview</t>
        </is>
      </c>
      <c r="E11" t="inlineStr">
        <is>
          <t>JAVA_OOP</t>
        </is>
      </c>
      <c r="F11" t="inlineStr">
        <is>
          <t>PE</t>
        </is>
      </c>
      <c r="G11" t="inlineStr">
        <is>
          <t>active</t>
        </is>
      </c>
      <c r="H11" t="inlineStr"/>
      <c r="I11" t="inlineStr"/>
      <c r="J11" t="inlineStr"/>
      <c r="K11" t="inlineStr">
        <is>
          <t>src-dotnet/Ape.AiModule.Api/App_Data/ai-groundtruth/QGEN_JAVA_OOP_PE.json</t>
        </is>
      </c>
    </row>
    <row r="12">
      <c r="A12" t="inlineStr">
        <is>
          <t>policy</t>
        </is>
      </c>
      <c r="B12" t="inlineStr">
        <is>
          <t>code_mentor_policy_v1</t>
        </is>
      </c>
      <c r="C12" t="inlineStr">
        <is>
          <t>v1</t>
        </is>
      </c>
      <c r="D12" t="inlineStr">
        <is>
          <t>CodeMentor</t>
        </is>
      </c>
      <c r="E12" t="inlineStr"/>
      <c r="F12" t="inlineStr"/>
      <c r="G12" t="inlineStr">
        <is>
          <t>active</t>
        </is>
      </c>
      <c r="H12" t="inlineStr"/>
      <c r="I12" t="inlineStr"/>
      <c r="J12" t="inlineStr"/>
      <c r="K12" t="inlineStr">
        <is>
          <t>src-dotnet/Ape.AiModule.Api/App_Data/code-mentor-policy.json</t>
        </is>
      </c>
    </row>
    <row r="13">
      <c r="A13" t="inlineStr">
        <is>
          <t>policy</t>
        </is>
      </c>
      <c r="B13" t="inlineStr">
        <is>
          <t>embedding_tagging_policy_v1</t>
        </is>
      </c>
      <c r="C13" t="inlineStr">
        <is>
          <t>v1</t>
        </is>
      </c>
      <c r="D13" t="inlineStr">
        <is>
          <t>EmbeddingTagging</t>
        </is>
      </c>
      <c r="E13" t="inlineStr"/>
      <c r="F13" t="inlineStr"/>
      <c r="G13" t="inlineStr">
        <is>
          <t>active</t>
        </is>
      </c>
      <c r="H13" t="inlineStr"/>
      <c r="I13" t="inlineStr"/>
      <c r="J13" t="inlineStr"/>
      <c r="K13" t="inlineStr">
        <is>
          <t>src-dotnet/Ape.AiModule.Api/App_Data/embedding-tagging-policy.json</t>
        </is>
      </c>
    </row>
    <row r="14">
      <c r="A14" t="inlineStr">
        <is>
          <t>policy</t>
        </is>
      </c>
      <c r="B14" t="inlineStr">
        <is>
          <t>extracted_content_policy_v1</t>
        </is>
      </c>
      <c r="C14" t="inlineStr">
        <is>
          <t>v1</t>
        </is>
      </c>
      <c r="D14" t="inlineStr">
        <is>
          <t>ExtractedContent</t>
        </is>
      </c>
      <c r="E14" t="inlineStr"/>
      <c r="F14" t="inlineStr"/>
      <c r="G14" t="inlineStr">
        <is>
          <t>active</t>
        </is>
      </c>
      <c r="H14" t="inlineStr"/>
      <c r="I14" t="inlineStr"/>
      <c r="J14" t="inlineStr"/>
      <c r="K14" t="inlineStr">
        <is>
          <t>src-dotnet/Ape.AiModule.Api/App_Data/extracted-content-policy.json</t>
        </is>
      </c>
    </row>
    <row r="15">
      <c r="A15" t="inlineStr">
        <is>
          <t>policy</t>
        </is>
      </c>
      <c r="B15" t="inlineStr">
        <is>
          <t>gatekeeper_policy_v1</t>
        </is>
      </c>
      <c r="C15" t="inlineStr">
        <is>
          <t>v1</t>
        </is>
      </c>
      <c r="D15" t="inlineStr">
        <is>
          <t>Gatekeeper</t>
        </is>
      </c>
      <c r="E15" t="inlineStr"/>
      <c r="F15" t="inlineStr"/>
      <c r="G15" t="inlineStr">
        <is>
          <t>active</t>
        </is>
      </c>
      <c r="H15" t="inlineStr"/>
      <c r="I15" t="inlineStr"/>
      <c r="J15" t="inlineStr"/>
      <c r="K15" t="inlineStr">
        <is>
          <t>src-dotnet/Ape.AiModule.Api/App_Data/gatekeeper-policy.json</t>
        </is>
      </c>
    </row>
    <row r="16">
      <c r="A16" t="inlineStr">
        <is>
          <t>prompt</t>
        </is>
      </c>
      <c r="B16" t="inlineStr">
        <is>
          <t>auto_tagging</t>
        </is>
      </c>
      <c r="C16" t="inlineStr">
        <is>
          <t>v2</t>
        </is>
      </c>
      <c r="D16" t="inlineStr">
        <is>
          <t>Chunk auto tagging</t>
        </is>
      </c>
      <c r="E16" t="inlineStr"/>
      <c r="F16" t="inlineStr"/>
      <c r="G16" t="inlineStr">
        <is>
          <t>active</t>
        </is>
      </c>
      <c r="H16" t="n">
        <v>192</v>
      </c>
      <c r="I16" t="n">
        <v>411</v>
      </c>
      <c r="J16" t="inlineStr">
        <is>
          <t>2026-07-15T22:55:03.047688+07:00</t>
        </is>
      </c>
      <c r="K16" t="inlineStr">
        <is>
          <t>src-dotnet/Ape.AiModule.Api/App_Data/ai-prompts.json</t>
        </is>
      </c>
    </row>
    <row r="17">
      <c r="A17" t="inlineStr">
        <is>
          <t>prompt</t>
        </is>
      </c>
      <c r="B17" t="inlineStr">
        <is>
          <t>code_mentor</t>
        </is>
      </c>
      <c r="C17" t="inlineStr">
        <is>
          <t>v3</t>
        </is>
      </c>
      <c r="D17" t="inlineStr">
        <is>
          <t>Code mentor review</t>
        </is>
      </c>
      <c r="E17" t="inlineStr"/>
      <c r="F17" t="inlineStr"/>
      <c r="G17" t="inlineStr">
        <is>
          <t>active</t>
        </is>
      </c>
      <c r="H17" t="n">
        <v>249</v>
      </c>
      <c r="I17" t="n">
        <v>730</v>
      </c>
      <c r="J17" t="inlineStr">
        <is>
          <t>2026-07-15T22:55:03.0476883+07:00</t>
        </is>
      </c>
      <c r="K17" t="inlineStr">
        <is>
          <t>src-dotnet/Ape.AiModule.Api/App_Data/ai-prompts.json</t>
        </is>
      </c>
    </row>
    <row r="18">
      <c r="A18" t="inlineStr">
        <is>
          <t>prompt</t>
        </is>
      </c>
      <c r="B18" t="inlineStr">
        <is>
          <t>extract_content_vision</t>
        </is>
      </c>
      <c r="C18" t="inlineStr">
        <is>
          <t>v2</t>
        </is>
      </c>
      <c r="D18" t="inlineStr">
        <is>
          <t>Vision extraction for images</t>
        </is>
      </c>
      <c r="E18" t="inlineStr"/>
      <c r="F18" t="inlineStr"/>
      <c r="G18" t="inlineStr">
        <is>
          <t>active</t>
        </is>
      </c>
      <c r="H18" t="n">
        <v>241</v>
      </c>
      <c r="I18" t="n">
        <v>402</v>
      </c>
      <c r="J18" t="inlineStr">
        <is>
          <t>2026-07-15T22:55:03.0476879+07:00</t>
        </is>
      </c>
      <c r="K18" t="inlineStr">
        <is>
          <t>src-dotnet/Ape.AiModule.Api/App_Data/ai-prompts.json</t>
        </is>
      </c>
    </row>
    <row r="19">
      <c r="A19" t="inlineStr">
        <is>
          <t>prompt</t>
        </is>
      </c>
      <c r="B19" t="inlineStr">
        <is>
          <t>gatekeeper</t>
        </is>
      </c>
      <c r="C19" t="inlineStr">
        <is>
          <t>v2</t>
        </is>
      </c>
      <c r="D19" t="inlineStr">
        <is>
          <t>Gatekeeper support classification</t>
        </is>
      </c>
      <c r="E19" t="inlineStr"/>
      <c r="F19" t="inlineStr"/>
      <c r="G19" t="inlineStr">
        <is>
          <t>active</t>
        </is>
      </c>
      <c r="H19" t="n">
        <v>320</v>
      </c>
      <c r="I19" t="n">
        <v>863</v>
      </c>
      <c r="J19" t="inlineStr">
        <is>
          <t>2026-07-15T22:55:03.0475948+07:00</t>
        </is>
      </c>
      <c r="K19" t="inlineStr">
        <is>
          <t>src-dotnet/Ape.AiModule.Api/App_Data/ai-prompts.json</t>
        </is>
      </c>
    </row>
    <row r="20">
      <c r="A20" t="inlineStr">
        <is>
          <t>prompt</t>
        </is>
      </c>
      <c r="B20" t="inlineStr">
        <is>
          <t>question_generation</t>
        </is>
      </c>
      <c r="C20" t="inlineStr">
        <is>
          <t>v8</t>
        </is>
      </c>
      <c r="D20" t="inlineStr">
        <is>
          <t>Question generation for FE/PE</t>
        </is>
      </c>
      <c r="E20" t="inlineStr"/>
      <c r="F20" t="inlineStr"/>
      <c r="G20" t="inlineStr">
        <is>
          <t>active</t>
        </is>
      </c>
      <c r="H20" t="n">
        <v>309</v>
      </c>
      <c r="I20" t="n">
        <v>6019</v>
      </c>
      <c r="J20" t="inlineStr">
        <is>
          <t>2026-07-15T22:55:03.0476881+07:00</t>
        </is>
      </c>
      <c r="K20" t="inlineStr">
        <is>
          <t>src-dotnet/Ape.AiModule.Api/App_Data/ai-prompts.json</t>
        </is>
      </c>
    </row>
    <row r="21">
      <c r="A21" t="inlineStr">
        <is>
          <t>prompt</t>
        </is>
      </c>
      <c r="B21" t="inlineStr">
        <is>
          <t>question_generation_repair</t>
        </is>
      </c>
      <c r="C21" t="inlineStr">
        <is>
          <t>v1</t>
        </is>
      </c>
      <c r="D21" t="inlineStr">
        <is>
          <t>Repair malformed question generation output</t>
        </is>
      </c>
      <c r="E21" t="inlineStr"/>
      <c r="F21" t="inlineStr"/>
      <c r="G21" t="inlineStr">
        <is>
          <t>active</t>
        </is>
      </c>
      <c r="H21" t="n">
        <v>227</v>
      </c>
      <c r="I21" t="n">
        <v>855</v>
      </c>
      <c r="J21" t="inlineStr">
        <is>
          <t>2026-07-18T07:00:00+07:00</t>
        </is>
      </c>
      <c r="K21" t="inlineStr">
        <is>
          <t>src-dotnet/Ape.AiModule.Api/App_Data/ai-prompts.json</t>
        </is>
      </c>
    </row>
    <row r="22">
      <c r="A22" t="inlineStr">
        <is>
          <t>prompt</t>
        </is>
      </c>
      <c r="B22" t="inlineStr">
        <is>
          <t>question_review</t>
        </is>
      </c>
      <c r="C22" t="inlineStr">
        <is>
          <t>v7</t>
        </is>
      </c>
      <c r="D22" t="inlineStr">
        <is>
          <t>Question review</t>
        </is>
      </c>
      <c r="E22" t="inlineStr"/>
      <c r="F22" t="inlineStr"/>
      <c r="G22" t="inlineStr">
        <is>
          <t>active</t>
        </is>
      </c>
      <c r="H22" t="n">
        <v>246</v>
      </c>
      <c r="I22" t="n">
        <v>2406</v>
      </c>
      <c r="J22" t="inlineStr">
        <is>
          <t>2026-07-15T22:55:03.0476882+07:00</t>
        </is>
      </c>
      <c r="K22" t="inlineStr">
        <is>
          <t>src-dotnet/Ape.AiModule.Api/App_Data/ai-prompts.json</t>
        </is>
      </c>
    </row>
    <row r="23">
      <c r="A23" t="inlineStr">
        <is>
          <t>rubric</t>
        </is>
      </c>
      <c r="B23" t="inlineStr">
        <is>
          <t>CODE_MENTOR</t>
        </is>
      </c>
      <c r="C23" t="inlineStr">
        <is>
          <t>v1</t>
        </is>
      </c>
      <c r="D23" t="inlineStr">
        <is>
          <t>Lightweight rubric for reviewing whether mentor feedback is technically grounded, actionable, and suitable for beginner programming students.</t>
        </is>
      </c>
      <c r="E23" t="inlineStr"/>
      <c r="F23" t="inlineStr"/>
      <c r="G23" t="inlineStr">
        <is>
          <t>active</t>
        </is>
      </c>
      <c r="H23" t="inlineStr"/>
      <c r="I23" t="inlineStr"/>
      <c r="J23" t="inlineStr"/>
      <c r="K23" t="inlineStr">
        <is>
          <t>src-dotnet/Ape.AiModule.Api/App_Data/ai-rubrics/CODE_MENTOR.json</t>
        </is>
      </c>
    </row>
    <row r="24">
      <c r="A24" t="inlineStr">
        <is>
          <t>rubric</t>
        </is>
      </c>
      <c r="B24" t="inlineStr">
        <is>
          <t>C_FE</t>
        </is>
      </c>
      <c r="C24" t="inlineStr">
        <is>
          <t>v1</t>
        </is>
      </c>
      <c r="D24" t="inlineStr">
        <is>
          <t>C Programming Fundamentals - Multiple Choice Rubric</t>
        </is>
      </c>
      <c r="E24" t="inlineStr">
        <is>
          <t>C</t>
        </is>
      </c>
      <c r="F24" t="inlineStr">
        <is>
          <t>FE</t>
        </is>
      </c>
      <c r="G24" t="inlineStr">
        <is>
          <t>active</t>
        </is>
      </c>
      <c r="H24" t="inlineStr"/>
      <c r="I24" t="inlineStr"/>
      <c r="J24" t="inlineStr"/>
      <c r="K24" t="inlineStr">
        <is>
          <t>src-dotnet/Ape.AiModule.Api/App_Data/ai-rubrics/C_FE.json</t>
        </is>
      </c>
    </row>
    <row r="25">
      <c r="A25" t="inlineStr">
        <is>
          <t>rubric</t>
        </is>
      </c>
      <c r="B25" t="inlineStr">
        <is>
          <t>C_PE</t>
        </is>
      </c>
      <c r="C25" t="inlineStr">
        <is>
          <t>v1</t>
        </is>
      </c>
      <c r="D25" t="inlineStr">
        <is>
          <t>C Programming Fundamentals - Practice Exam Rubric</t>
        </is>
      </c>
      <c r="E25" t="inlineStr">
        <is>
          <t>C</t>
        </is>
      </c>
      <c r="F25" t="inlineStr">
        <is>
          <t>PE</t>
        </is>
      </c>
      <c r="G25" t="inlineStr">
        <is>
          <t>active</t>
        </is>
      </c>
      <c r="H25" t="inlineStr"/>
      <c r="I25" t="inlineStr"/>
      <c r="J25" t="inlineStr"/>
      <c r="K25" t="inlineStr">
        <is>
          <t>src-dotnet/Ape.AiModule.Api/App_Data/ai-rubrics/C_PE.json</t>
        </is>
      </c>
    </row>
    <row r="26">
      <c r="A26" t="inlineStr">
        <is>
          <t>rubric</t>
        </is>
      </c>
      <c r="B26" t="inlineStr">
        <is>
          <t>DSA_JAVA_FE</t>
        </is>
      </c>
      <c r="C26" t="inlineStr">
        <is>
          <t>v1</t>
        </is>
      </c>
      <c r="D26" t="inlineStr">
        <is>
          <t>Data Structures and Algorithms in Java - Multiple Choice Rubric</t>
        </is>
      </c>
      <c r="E26" t="inlineStr">
        <is>
          <t>DSA_JAVA</t>
        </is>
      </c>
      <c r="F26" t="inlineStr">
        <is>
          <t>FE</t>
        </is>
      </c>
      <c r="G26" t="inlineStr">
        <is>
          <t>active</t>
        </is>
      </c>
      <c r="H26" t="inlineStr"/>
      <c r="I26" t="inlineStr"/>
      <c r="J26" t="inlineStr"/>
      <c r="K26" t="inlineStr">
        <is>
          <t>src-dotnet/Ape.AiModule.Api/App_Data/ai-rubrics/DSA_JAVA_FE.json</t>
        </is>
      </c>
    </row>
    <row r="27">
      <c r="A27" t="inlineStr">
        <is>
          <t>rubric</t>
        </is>
      </c>
      <c r="B27" t="inlineStr">
        <is>
          <t>DSA_JAVA_PE</t>
        </is>
      </c>
      <c r="C27" t="inlineStr">
        <is>
          <t>v1</t>
        </is>
      </c>
      <c r="D27" t="inlineStr">
        <is>
          <t>Data Structures and Algorithms in Java - Practice Exam Rubric</t>
        </is>
      </c>
      <c r="E27" t="inlineStr">
        <is>
          <t>DSA_JAVA</t>
        </is>
      </c>
      <c r="F27" t="inlineStr">
        <is>
          <t>PE</t>
        </is>
      </c>
      <c r="G27" t="inlineStr">
        <is>
          <t>active</t>
        </is>
      </c>
      <c r="H27" t="inlineStr"/>
      <c r="I27" t="inlineStr"/>
      <c r="J27" t="inlineStr"/>
      <c r="K27" t="inlineStr">
        <is>
          <t>src-dotnet/Ape.AiModule.Api/App_Data/ai-rubrics/DSA_JAVA_PE.json</t>
        </is>
      </c>
    </row>
    <row r="28">
      <c r="A28" t="inlineStr">
        <is>
          <t>rubric</t>
        </is>
      </c>
      <c r="B28" t="inlineStr">
        <is>
          <t>EMBEDDING_TAGGING</t>
        </is>
      </c>
      <c r="C28" t="inlineStr">
        <is>
          <t>v1</t>
        </is>
      </c>
      <c r="D28" t="inlineStr">
        <is>
          <t>Lightweight rubric for checking whether chunk records are structurally useful and whether topic tags are aligned with the chunk content.</t>
        </is>
      </c>
      <c r="E28" t="inlineStr"/>
      <c r="F28" t="inlineStr"/>
      <c r="G28" t="inlineStr">
        <is>
          <t>active</t>
        </is>
      </c>
      <c r="H28" t="inlineStr"/>
      <c r="I28" t="inlineStr"/>
      <c r="J28" t="inlineStr"/>
      <c r="K28" t="inlineStr">
        <is>
          <t>src-dotnet/Ape.AiModule.Api/App_Data/ai-rubrics/EMBEDDING_TAGGING.json</t>
        </is>
      </c>
    </row>
    <row r="29">
      <c r="A29" t="inlineStr">
        <is>
          <t>rubric</t>
        </is>
      </c>
      <c r="B29" t="inlineStr">
        <is>
          <t>EXTRACTED_CONTENT</t>
        </is>
      </c>
      <c r="C29" t="inlineStr">
        <is>
          <t>v1</t>
        </is>
      </c>
      <c r="D29" t="inlineStr">
        <is>
          <t>Lightweight rubric for evaluating whether document extraction output is structurally useful for downstream chunking and embedding.</t>
        </is>
      </c>
      <c r="E29" t="inlineStr"/>
      <c r="F29" t="inlineStr"/>
      <c r="G29" t="inlineStr">
        <is>
          <t>active</t>
        </is>
      </c>
      <c r="H29" t="inlineStr"/>
      <c r="I29" t="inlineStr"/>
      <c r="J29" t="inlineStr"/>
      <c r="K29" t="inlineStr">
        <is>
          <t>src-dotnet/Ape.AiModule.Api/App_Data/ai-rubrics/EXTRACTED_CONTENT.json</t>
        </is>
      </c>
    </row>
    <row r="30">
      <c r="A30" t="inlineStr">
        <is>
          <t>rubric</t>
        </is>
      </c>
      <c r="B30" t="inlineStr">
        <is>
          <t>GATEKEEPER</t>
        </is>
      </c>
      <c r="C30" t="inlineStr">
        <is>
          <t>v1</t>
        </is>
      </c>
      <c r="D30" t="inlineStr">
        <is>
          <t>Lightweight rubric for classifying whether a document belongs to the supported subject whitelist.</t>
        </is>
      </c>
      <c r="E30" t="inlineStr"/>
      <c r="F30" t="inlineStr"/>
      <c r="G30" t="inlineStr">
        <is>
          <t>active</t>
        </is>
      </c>
      <c r="H30" t="inlineStr"/>
      <c r="I30" t="inlineStr"/>
      <c r="J30" t="inlineStr"/>
      <c r="K30" t="inlineStr">
        <is>
          <t>src-dotnet/Ape.AiModule.Api/App_Data/ai-rubrics/GATEKEEPER.json</t>
        </is>
      </c>
    </row>
    <row r="31">
      <c r="A31" t="inlineStr">
        <is>
          <t>rubric</t>
        </is>
      </c>
      <c r="B31" t="inlineStr">
        <is>
          <t>JAVA_OOP_FE</t>
        </is>
      </c>
      <c r="C31" t="inlineStr">
        <is>
          <t>v1</t>
        </is>
      </c>
      <c r="D31" t="inlineStr">
        <is>
          <t>Java OOP - Multiple Choice Rubric</t>
        </is>
      </c>
      <c r="E31" t="inlineStr">
        <is>
          <t>JAVA_OOP</t>
        </is>
      </c>
      <c r="F31" t="inlineStr">
        <is>
          <t>FE</t>
        </is>
      </c>
      <c r="G31" t="inlineStr">
        <is>
          <t>active</t>
        </is>
      </c>
      <c r="H31" t="inlineStr"/>
      <c r="I31" t="inlineStr"/>
      <c r="J31" t="inlineStr"/>
      <c r="K31" t="inlineStr">
        <is>
          <t>src-dotnet/Ape.AiModule.Api/App_Data/ai-rubrics/JAVA_OOP_FE.json</t>
        </is>
      </c>
    </row>
    <row r="32">
      <c r="A32" t="inlineStr">
        <is>
          <t>rubric</t>
        </is>
      </c>
      <c r="B32" t="inlineStr">
        <is>
          <t>JAVA_OOP_PE</t>
        </is>
      </c>
      <c r="C32" t="inlineStr">
        <is>
          <t>v1</t>
        </is>
      </c>
      <c r="D32" t="inlineStr">
        <is>
          <t>Java OOP - Practice Exam Rubric</t>
        </is>
      </c>
      <c r="E32" t="inlineStr">
        <is>
          <t>JAVA_OOP</t>
        </is>
      </c>
      <c r="F32" t="inlineStr">
        <is>
          <t>PE</t>
        </is>
      </c>
      <c r="G32" t="inlineStr">
        <is>
          <t>active</t>
        </is>
      </c>
      <c r="H32" t="inlineStr"/>
      <c r="I32" t="inlineStr"/>
      <c r="J32" t="inlineStr"/>
      <c r="K32" t="inlineStr">
        <is>
          <t>src-dotnet/Ape.AiModule.Api/App_Data/ai-rubrics/JAVA_OOP_PE.json</t>
        </is>
      </c>
    </row>
  </sheetData>
  <autoFilter ref="A1:K32"/>
  <pageMargins left="0.75" right="0.75" top="1" bottom="1" header="0.5" footer="0.5"/>
</worksheet>
</file>

<file path=xl/worksheets/sheet8.xml><?xml version="1.0" encoding="utf-8"?>
<worksheet xmlns="http://schemas.openxmlformats.org/spreadsheetml/2006/main">
  <sheetPr>
    <tabColor rgb="00C55A11"/>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15" customWidth="1" min="1" max="1"/>
    <col width="29" customWidth="1" min="2" max="2"/>
    <col width="9" customWidth="1" min="3" max="3"/>
    <col width="26" customWidth="1" min="4" max="4"/>
    <col width="14" customWidth="1" min="5" max="5"/>
    <col width="15" customWidth="1" min="6" max="6"/>
    <col width="35" customWidth="1" min="7" max="7"/>
    <col width="14" customWidth="1" min="8" max="8"/>
    <col width="42" customWidth="1" min="9" max="9"/>
    <col width="48" customWidth="1" min="10" max="10"/>
    <col width="48" customWidth="1" min="11" max="11"/>
    <col width="48" customWidth="1" min="12" max="12"/>
    <col width="11" customWidth="1" min="13" max="13"/>
    <col width="48" customWidth="1" min="14" max="14"/>
    <col width="48" customWidth="1" min="15" max="15"/>
  </cols>
  <sheetData>
    <row r="1">
      <c r="A1" s="8" t="inlineStr">
        <is>
          <t>artifact_type</t>
        </is>
      </c>
      <c r="B1" s="8" t="inlineStr">
        <is>
          <t>stable_id</t>
        </is>
      </c>
      <c r="C1" s="8" t="inlineStr">
        <is>
          <t>version</t>
        </is>
      </c>
      <c r="D1" s="8" t="inlineStr">
        <is>
          <t>function_name</t>
        </is>
      </c>
      <c r="E1" s="8" t="inlineStr">
        <is>
          <t>subject_code</t>
        </is>
      </c>
      <c r="F1" s="8" t="inlineStr">
        <is>
          <t>question_type</t>
        </is>
      </c>
      <c r="G1" s="8" t="inlineStr">
        <is>
          <t>captured_at</t>
        </is>
      </c>
      <c r="H1" s="8" t="inlineStr">
        <is>
          <t>source</t>
        </is>
      </c>
      <c r="I1" s="8" t="inlineStr">
        <is>
          <t>source_commit</t>
        </is>
      </c>
      <c r="J1" s="8" t="inlineStr">
        <is>
          <t>captured_from</t>
        </is>
      </c>
      <c r="K1" s="8" t="inlineStr">
        <is>
          <t>change_reason</t>
        </is>
      </c>
      <c r="L1" s="9" t="inlineStr">
        <is>
          <t>change_summary</t>
        </is>
      </c>
      <c r="M1" s="9" t="inlineStr">
        <is>
          <t>is_active</t>
        </is>
      </c>
      <c r="N1" s="9" t="inlineStr">
        <is>
          <t>content_hash</t>
        </is>
      </c>
      <c r="O1" s="9" t="inlineStr">
        <is>
          <t>snapshot_file</t>
        </is>
      </c>
    </row>
    <row r="2">
      <c r="A2" t="inlineStr">
        <is>
          <t>groundtruth</t>
        </is>
      </c>
      <c r="B2" t="inlineStr">
        <is>
          <t>CODE_MENTOR_CORE</t>
        </is>
      </c>
      <c r="C2" t="inlineStr">
        <is>
          <t>v1</t>
        </is>
      </c>
      <c r="D2" t="inlineStr">
        <is>
          <t>CodeMentor</t>
        </is>
      </c>
      <c r="E2" t="inlineStr"/>
      <c r="F2" t="inlineStr"/>
      <c r="G2" t="inlineStr">
        <is>
          <t>2026-07-16T06:59:08.0000000Z</t>
        </is>
      </c>
      <c r="H2" t="inlineStr">
        <is>
          <t>git_backfill</t>
        </is>
      </c>
      <c r="I2" t="inlineStr">
        <is>
          <t>511aa50726eca82952abff8f8b29642d20a4d019</t>
        </is>
      </c>
      <c r="J2" t="inlineStr">
        <is>
          <t>src-dotnet/Ape.AiModule.Api/App_Data/ai-groundtruth/CODE_MENTOR_CORE.json</t>
        </is>
      </c>
      <c r="K2" t="inlineStr">
        <is>
          <t>Add AI module prototype, operator UI, and docs</t>
        </is>
      </c>
      <c r="L2" t="inlineStr">
        <is>
          <t>Initial snapshot imported from git history.</t>
        </is>
      </c>
      <c r="M2" t="inlineStr">
        <is>
          <t>True</t>
        </is>
      </c>
      <c r="N2" t="inlineStr">
        <is>
          <t>f25cc20690bd07a4d4b909ef73c1075ab4a9d5808ed12712e32cf1105579a7ea</t>
        </is>
      </c>
      <c r="O2" t="inlineStr">
        <is>
          <t>src-dotnet/Ape.AiModule.Api/App_Data/ai-config-history/groundtruth/CODE_MENTOR_CORE/20260716065908000-v1-f25cc20690bd.json</t>
        </is>
      </c>
    </row>
    <row r="3">
      <c r="A3" t="inlineStr">
        <is>
          <t>groundtruth</t>
        </is>
      </c>
      <c r="B3" t="inlineStr">
        <is>
          <t>EMBEDDING_TAGGING_CORE</t>
        </is>
      </c>
      <c r="C3" t="inlineStr">
        <is>
          <t>v1</t>
        </is>
      </c>
      <c r="D3" t="inlineStr">
        <is>
          <t>EmbeddingTagging</t>
        </is>
      </c>
      <c r="E3" t="inlineStr"/>
      <c r="F3" t="inlineStr"/>
      <c r="G3" t="inlineStr">
        <is>
          <t>2026-07-16T06:59:08.0000000Z</t>
        </is>
      </c>
      <c r="H3" t="inlineStr">
        <is>
          <t>git_backfill</t>
        </is>
      </c>
      <c r="I3" t="inlineStr">
        <is>
          <t>511aa50726eca82952abff8f8b29642d20a4d019</t>
        </is>
      </c>
      <c r="J3" t="inlineStr">
        <is>
          <t>src-dotnet/Ape.AiModule.Api/App_Data/ai-groundtruth/EMBEDDING_TAGGING_CORE.json</t>
        </is>
      </c>
      <c r="K3" t="inlineStr">
        <is>
          <t>Add AI module prototype, operator UI, and docs</t>
        </is>
      </c>
      <c r="L3" t="inlineStr">
        <is>
          <t>Initial snapshot imported from git history.</t>
        </is>
      </c>
      <c r="M3" t="inlineStr">
        <is>
          <t>True</t>
        </is>
      </c>
      <c r="N3" t="inlineStr">
        <is>
          <t>2ca5f16a443142af90f09ad074c19b3954311e5deb417100294a3aff65c613f4</t>
        </is>
      </c>
      <c r="O3" t="inlineStr">
        <is>
          <t>src-dotnet/Ape.AiModule.Api/App_Data/ai-config-history/groundtruth/EMBEDDING_TAGGING_CORE/20260716065908000-v1-2ca5f16a4431.json</t>
        </is>
      </c>
    </row>
    <row r="4">
      <c r="A4" t="inlineStr">
        <is>
          <t>groundtruth</t>
        </is>
      </c>
      <c r="B4" t="inlineStr">
        <is>
          <t>EXTRACTED_CONTENT_CORE</t>
        </is>
      </c>
      <c r="C4" t="inlineStr">
        <is>
          <t>v1</t>
        </is>
      </c>
      <c r="D4" t="inlineStr">
        <is>
          <t>ExtractedContent</t>
        </is>
      </c>
      <c r="E4" t="inlineStr"/>
      <c r="F4" t="inlineStr"/>
      <c r="G4" t="inlineStr">
        <is>
          <t>2026-07-16T06:59:08.0000000Z</t>
        </is>
      </c>
      <c r="H4" t="inlineStr">
        <is>
          <t>git_backfill</t>
        </is>
      </c>
      <c r="I4" t="inlineStr">
        <is>
          <t>511aa50726eca82952abff8f8b29642d20a4d019</t>
        </is>
      </c>
      <c r="J4" t="inlineStr">
        <is>
          <t>src-dotnet/Ape.AiModule.Api/App_Data/ai-groundtruth/EXTRACTED_CONTENT_CORE.json</t>
        </is>
      </c>
      <c r="K4" t="inlineStr">
        <is>
          <t>Add AI module prototype, operator UI, and docs</t>
        </is>
      </c>
      <c r="L4" t="inlineStr">
        <is>
          <t>Initial snapshot imported from git history.</t>
        </is>
      </c>
      <c r="M4" t="inlineStr">
        <is>
          <t>True</t>
        </is>
      </c>
      <c r="N4" t="inlineStr">
        <is>
          <t>b027873c390d32790dd46a28d399e2be20bb40a3061bab672569e0b45c588a27</t>
        </is>
      </c>
      <c r="O4" t="inlineStr">
        <is>
          <t>src-dotnet/Ape.AiModule.Api/App_Data/ai-config-history/groundtruth/EXTRACTED_CONTENT_CORE/20260716065908000-v1-b027873c390d.json</t>
        </is>
      </c>
    </row>
    <row r="5">
      <c r="A5" t="inlineStr">
        <is>
          <t>groundtruth</t>
        </is>
      </c>
      <c r="B5" t="inlineStr">
        <is>
          <t>GATEKEEPER_CORE</t>
        </is>
      </c>
      <c r="C5" t="inlineStr">
        <is>
          <t>v1</t>
        </is>
      </c>
      <c r="D5" t="inlineStr">
        <is>
          <t>Gatekeeper</t>
        </is>
      </c>
      <c r="E5" t="inlineStr"/>
      <c r="F5" t="inlineStr"/>
      <c r="G5" t="inlineStr">
        <is>
          <t>2026-07-16T06:59:08.0000000Z</t>
        </is>
      </c>
      <c r="H5" t="inlineStr">
        <is>
          <t>git_backfill</t>
        </is>
      </c>
      <c r="I5" t="inlineStr">
        <is>
          <t>511aa50726eca82952abff8f8b29642d20a4d019</t>
        </is>
      </c>
      <c r="J5" t="inlineStr">
        <is>
          <t>src-dotnet/Ape.AiModule.Api/App_Data/ai-groundtruth/GATEKEEPER_CORE.json</t>
        </is>
      </c>
      <c r="K5" t="inlineStr">
        <is>
          <t>Add AI module prototype, operator UI, and docs</t>
        </is>
      </c>
      <c r="L5" t="inlineStr">
        <is>
          <t>Initial snapshot imported from git history.</t>
        </is>
      </c>
      <c r="M5" t="inlineStr">
        <is>
          <t>True</t>
        </is>
      </c>
      <c r="N5" t="inlineStr">
        <is>
          <t>8dc50556493aca8ed06b042b3f1aeaa9d7b44987fc3ad52672affec4679bb33a</t>
        </is>
      </c>
      <c r="O5" t="inlineStr">
        <is>
          <t>src-dotnet/Ape.AiModule.Api/App_Data/ai-config-history/groundtruth/GATEKEEPER_CORE/20260716065908000-v1-8dc50556493a.json</t>
        </is>
      </c>
    </row>
    <row r="6">
      <c r="A6" t="inlineStr">
        <is>
          <t>groundtruth</t>
        </is>
      </c>
      <c r="B6" t="inlineStr">
        <is>
          <t>QGEN_C_FE</t>
        </is>
      </c>
      <c r="C6" t="inlineStr">
        <is>
          <t>v1</t>
        </is>
      </c>
      <c r="D6" t="inlineStr">
        <is>
          <t>QuestionGenerationReview</t>
        </is>
      </c>
      <c r="E6" t="inlineStr">
        <is>
          <t>C</t>
        </is>
      </c>
      <c r="F6" t="inlineStr">
        <is>
          <t>FE</t>
        </is>
      </c>
      <c r="G6" t="inlineStr">
        <is>
          <t>2026-07-16T06:59:08.0000000Z</t>
        </is>
      </c>
      <c r="H6" t="inlineStr">
        <is>
          <t>git_backfill</t>
        </is>
      </c>
      <c r="I6" t="inlineStr">
        <is>
          <t>511aa50726eca82952abff8f8b29642d20a4d019</t>
        </is>
      </c>
      <c r="J6" t="inlineStr">
        <is>
          <t>src-dotnet/Ape.AiModule.Api/App_Data/ai-groundtruth/QGEN_C_FE.json</t>
        </is>
      </c>
      <c r="K6" t="inlineStr">
        <is>
          <t>Add AI module prototype, operator UI, and docs</t>
        </is>
      </c>
      <c r="L6" t="inlineStr">
        <is>
          <t>Initial snapshot imported from git history.</t>
        </is>
      </c>
      <c r="M6" t="inlineStr">
        <is>
          <t>True</t>
        </is>
      </c>
      <c r="N6" t="inlineStr">
        <is>
          <t>85d492157c597f4fa27cbb318e94fdfd6efce6a3bcac0dcea95e7038e8b08d81</t>
        </is>
      </c>
      <c r="O6" t="inlineStr">
        <is>
          <t>src-dotnet/Ape.AiModule.Api/App_Data/ai-config-history/groundtruth/QGEN_C_FE/20260716065908000-v1-85d492157c59.json</t>
        </is>
      </c>
    </row>
    <row r="7">
      <c r="A7" t="inlineStr">
        <is>
          <t>groundtruth</t>
        </is>
      </c>
      <c r="B7" t="inlineStr">
        <is>
          <t>QGEN_C_PE</t>
        </is>
      </c>
      <c r="C7" t="inlineStr">
        <is>
          <t>v1</t>
        </is>
      </c>
      <c r="D7" t="inlineStr">
        <is>
          <t>QuestionGenerationReview</t>
        </is>
      </c>
      <c r="E7" t="inlineStr">
        <is>
          <t>C</t>
        </is>
      </c>
      <c r="F7" t="inlineStr">
        <is>
          <t>PE</t>
        </is>
      </c>
      <c r="G7" t="inlineStr">
        <is>
          <t>2026-07-16T06:59:08.0000000Z</t>
        </is>
      </c>
      <c r="H7" t="inlineStr">
        <is>
          <t>git_backfill</t>
        </is>
      </c>
      <c r="I7" t="inlineStr">
        <is>
          <t>511aa50726eca82952abff8f8b29642d20a4d019</t>
        </is>
      </c>
      <c r="J7" t="inlineStr">
        <is>
          <t>src-dotnet/Ape.AiModule.Api/App_Data/ai-groundtruth/QGEN_C_PE.json</t>
        </is>
      </c>
      <c r="K7" t="inlineStr">
        <is>
          <t>Add AI module prototype, operator UI, and docs</t>
        </is>
      </c>
      <c r="L7" t="inlineStr">
        <is>
          <t>Initial snapshot imported from git history.</t>
        </is>
      </c>
      <c r="M7" t="inlineStr">
        <is>
          <t>True</t>
        </is>
      </c>
      <c r="N7" t="inlineStr">
        <is>
          <t>0fa8f1f938dc475359a0caa998d993458222d7d636e5105a3534f3f64b320f25</t>
        </is>
      </c>
      <c r="O7" t="inlineStr">
        <is>
          <t>src-dotnet/Ape.AiModule.Api/App_Data/ai-config-history/groundtruth/QGEN_C_PE/20260716065908000-v1-0fa8f1f938dc.json</t>
        </is>
      </c>
    </row>
    <row r="8">
      <c r="A8" t="inlineStr">
        <is>
          <t>groundtruth</t>
        </is>
      </c>
      <c r="B8" t="inlineStr">
        <is>
          <t>QGEN_DSA_JAVA_FE</t>
        </is>
      </c>
      <c r="C8" t="inlineStr">
        <is>
          <t>v1</t>
        </is>
      </c>
      <c r="D8" t="inlineStr">
        <is>
          <t>QuestionGenerationReview</t>
        </is>
      </c>
      <c r="E8" t="inlineStr">
        <is>
          <t>DSA_JAVA</t>
        </is>
      </c>
      <c r="F8" t="inlineStr">
        <is>
          <t>FE</t>
        </is>
      </c>
      <c r="G8" t="inlineStr">
        <is>
          <t>2026-07-16T06:59:08.0000000Z</t>
        </is>
      </c>
      <c r="H8" t="inlineStr">
        <is>
          <t>git_backfill</t>
        </is>
      </c>
      <c r="I8" t="inlineStr">
        <is>
          <t>511aa50726eca82952abff8f8b29642d20a4d019</t>
        </is>
      </c>
      <c r="J8" t="inlineStr">
        <is>
          <t>src-dotnet/Ape.AiModule.Api/App_Data/ai-groundtruth/QGEN_DSA_JAVA_FE.json</t>
        </is>
      </c>
      <c r="K8" t="inlineStr">
        <is>
          <t>Add AI module prototype, operator UI, and docs</t>
        </is>
      </c>
      <c r="L8" t="inlineStr">
        <is>
          <t>Initial snapshot imported from git history.</t>
        </is>
      </c>
      <c r="M8" t="inlineStr">
        <is>
          <t>True</t>
        </is>
      </c>
      <c r="N8" t="inlineStr">
        <is>
          <t>1d89e913382a1a15b97f9f13822003b3f6842f350ff7c48651b263c5dccdf3d1</t>
        </is>
      </c>
      <c r="O8" t="inlineStr">
        <is>
          <t>src-dotnet/Ape.AiModule.Api/App_Data/ai-config-history/groundtruth/QGEN_DSA_JAVA_FE/20260716065908000-v1-1d89e913382a.json</t>
        </is>
      </c>
    </row>
    <row r="9">
      <c r="A9" t="inlineStr">
        <is>
          <t>groundtruth</t>
        </is>
      </c>
      <c r="B9" t="inlineStr">
        <is>
          <t>QGEN_DSA_JAVA_PE</t>
        </is>
      </c>
      <c r="C9" t="inlineStr">
        <is>
          <t>v1</t>
        </is>
      </c>
      <c r="D9" t="inlineStr">
        <is>
          <t>QuestionGenerationReview</t>
        </is>
      </c>
      <c r="E9" t="inlineStr">
        <is>
          <t>DSA_JAVA</t>
        </is>
      </c>
      <c r="F9" t="inlineStr">
        <is>
          <t>PE</t>
        </is>
      </c>
      <c r="G9" t="inlineStr">
        <is>
          <t>2026-07-16T06:59:08.0000000Z</t>
        </is>
      </c>
      <c r="H9" t="inlineStr">
        <is>
          <t>git_backfill</t>
        </is>
      </c>
      <c r="I9" t="inlineStr">
        <is>
          <t>511aa50726eca82952abff8f8b29642d20a4d019</t>
        </is>
      </c>
      <c r="J9" t="inlineStr">
        <is>
          <t>src-dotnet/Ape.AiModule.Api/App_Data/ai-groundtruth/QGEN_DSA_JAVA_PE.json</t>
        </is>
      </c>
      <c r="K9" t="inlineStr">
        <is>
          <t>Add AI module prototype, operator UI, and docs</t>
        </is>
      </c>
      <c r="L9" t="inlineStr">
        <is>
          <t>Initial snapshot imported from git history.</t>
        </is>
      </c>
      <c r="M9" t="inlineStr">
        <is>
          <t>True</t>
        </is>
      </c>
      <c r="N9" t="inlineStr">
        <is>
          <t>cdb5e8f64470fcd7c3dfc83e8a7e6d008f3b59ecf368640dbb0067f473ef46d8</t>
        </is>
      </c>
      <c r="O9" t="inlineStr">
        <is>
          <t>src-dotnet/Ape.AiModule.Api/App_Data/ai-config-history/groundtruth/QGEN_DSA_JAVA_PE/20260716065908000-v1-cdb5e8f64470.json</t>
        </is>
      </c>
    </row>
    <row r="10">
      <c r="A10" t="inlineStr">
        <is>
          <t>groundtruth</t>
        </is>
      </c>
      <c r="B10" t="inlineStr">
        <is>
          <t>QGEN_JAVA_OOP_FE</t>
        </is>
      </c>
      <c r="C10" t="inlineStr">
        <is>
          <t>v1</t>
        </is>
      </c>
      <c r="D10" t="inlineStr">
        <is>
          <t>QuestionGenerationReview</t>
        </is>
      </c>
      <c r="E10" t="inlineStr">
        <is>
          <t>JAVA_OOP</t>
        </is>
      </c>
      <c r="F10" t="inlineStr">
        <is>
          <t>FE</t>
        </is>
      </c>
      <c r="G10" t="inlineStr">
        <is>
          <t>2026-07-16T06:59:08.0000000Z</t>
        </is>
      </c>
      <c r="H10" t="inlineStr">
        <is>
          <t>git_backfill</t>
        </is>
      </c>
      <c r="I10" t="inlineStr">
        <is>
          <t>511aa50726eca82952abff8f8b29642d20a4d019</t>
        </is>
      </c>
      <c r="J10" t="inlineStr">
        <is>
          <t>src-dotnet/Ape.AiModule.Api/App_Data/ai-groundtruth/QGEN_JAVA_OOP_FE.json</t>
        </is>
      </c>
      <c r="K10" t="inlineStr">
        <is>
          <t>Add AI module prototype, operator UI, and docs</t>
        </is>
      </c>
      <c r="L10" t="inlineStr">
        <is>
          <t>Initial snapshot imported from git history.</t>
        </is>
      </c>
      <c r="M10" t="inlineStr">
        <is>
          <t>True</t>
        </is>
      </c>
      <c r="N10" t="inlineStr">
        <is>
          <t>d7281aa5d9f23734b370aeff736d33609bbe7487bbb75c2502e51c226724ef7d</t>
        </is>
      </c>
      <c r="O10" t="inlineStr">
        <is>
          <t>src-dotnet/Ape.AiModule.Api/App_Data/ai-config-history/groundtruth/QGEN_JAVA_OOP_FE/20260716065908000-v1-d7281aa5d9f2.json</t>
        </is>
      </c>
    </row>
    <row r="11">
      <c r="A11" t="inlineStr">
        <is>
          <t>groundtruth</t>
        </is>
      </c>
      <c r="B11" t="inlineStr">
        <is>
          <t>QGEN_JAVA_OOP_PE</t>
        </is>
      </c>
      <c r="C11" t="inlineStr">
        <is>
          <t>v1</t>
        </is>
      </c>
      <c r="D11" t="inlineStr">
        <is>
          <t>QuestionGenerationReview</t>
        </is>
      </c>
      <c r="E11" t="inlineStr">
        <is>
          <t>JAVA_OOP</t>
        </is>
      </c>
      <c r="F11" t="inlineStr">
        <is>
          <t>PE</t>
        </is>
      </c>
      <c r="G11" t="inlineStr">
        <is>
          <t>2026-07-16T06:59:08.0000000Z</t>
        </is>
      </c>
      <c r="H11" t="inlineStr">
        <is>
          <t>git_backfill</t>
        </is>
      </c>
      <c r="I11" t="inlineStr">
        <is>
          <t>511aa50726eca82952abff8f8b29642d20a4d019</t>
        </is>
      </c>
      <c r="J11" t="inlineStr">
        <is>
          <t>src-dotnet/Ape.AiModule.Api/App_Data/ai-groundtruth/QGEN_JAVA_OOP_PE.json</t>
        </is>
      </c>
      <c r="K11" t="inlineStr">
        <is>
          <t>Add AI module prototype, operator UI, and docs</t>
        </is>
      </c>
      <c r="L11" t="inlineStr">
        <is>
          <t>Initial snapshot imported from git history.</t>
        </is>
      </c>
      <c r="M11" t="inlineStr">
        <is>
          <t>True</t>
        </is>
      </c>
      <c r="N11" t="inlineStr">
        <is>
          <t>07bed941fa74b40d54d866032044c5cc4675d05f49b3070f9cc5a58867c55990</t>
        </is>
      </c>
      <c r="O11" t="inlineStr">
        <is>
          <t>src-dotnet/Ape.AiModule.Api/App_Data/ai-config-history/groundtruth/QGEN_JAVA_OOP_PE/20260716065908000-v1-07bed941fa74.json</t>
        </is>
      </c>
    </row>
    <row r="12">
      <c r="A12" t="inlineStr">
        <is>
          <t>policies</t>
        </is>
      </c>
      <c r="B12" t="inlineStr">
        <is>
          <t>code_mentor_policy_v1</t>
        </is>
      </c>
      <c r="C12" t="inlineStr">
        <is>
          <t>v1</t>
        </is>
      </c>
      <c r="D12" t="inlineStr">
        <is>
          <t>CodeMentor</t>
        </is>
      </c>
      <c r="E12" t="inlineStr"/>
      <c r="F12" t="inlineStr"/>
      <c r="G12" t="inlineStr">
        <is>
          <t>2026-07-16T06:59:08.0000000Z</t>
        </is>
      </c>
      <c r="H12" t="inlineStr">
        <is>
          <t>git_backfill</t>
        </is>
      </c>
      <c r="I12" t="inlineStr">
        <is>
          <t>511aa50726eca82952abff8f8b29642d20a4d019</t>
        </is>
      </c>
      <c r="J12" t="inlineStr">
        <is>
          <t>src-dotnet/Ape.AiModule.Api/App_Data/code-mentor-policy.json</t>
        </is>
      </c>
      <c r="K12" t="inlineStr">
        <is>
          <t>Add AI module prototype, operator UI, and docs</t>
        </is>
      </c>
      <c r="L12" t="inlineStr">
        <is>
          <t>Initial snapshot imported from git history.</t>
        </is>
      </c>
      <c r="M12" t="inlineStr">
        <is>
          <t>True</t>
        </is>
      </c>
      <c r="N12" t="inlineStr">
        <is>
          <t>9fa0783292ca198d42120ca05b0ccb13f09a4aab8f60b931c5cb73f5b43d3ad6</t>
        </is>
      </c>
      <c r="O12" t="inlineStr">
        <is>
          <t>src-dotnet/Ape.AiModule.Api/App_Data/ai-config-history/policies/code_mentor_policy_v1/20260716065908000-v1-9fa0783292ca.json</t>
        </is>
      </c>
    </row>
    <row r="13">
      <c r="A13" t="inlineStr">
        <is>
          <t>policies</t>
        </is>
      </c>
      <c r="B13" t="inlineStr">
        <is>
          <t>embedding_tagging_policy_v1</t>
        </is>
      </c>
      <c r="C13" t="inlineStr">
        <is>
          <t>v1</t>
        </is>
      </c>
      <c r="D13" t="inlineStr">
        <is>
          <t>EmbeddingTagging</t>
        </is>
      </c>
      <c r="E13" t="inlineStr"/>
      <c r="F13" t="inlineStr"/>
      <c r="G13" t="inlineStr">
        <is>
          <t>2026-07-16T06:59:08.0000000Z</t>
        </is>
      </c>
      <c r="H13" t="inlineStr">
        <is>
          <t>git_backfill</t>
        </is>
      </c>
      <c r="I13" t="inlineStr">
        <is>
          <t>511aa50726eca82952abff8f8b29642d20a4d019</t>
        </is>
      </c>
      <c r="J13" t="inlineStr">
        <is>
          <t>src-dotnet/Ape.AiModule.Api/App_Data/embedding-tagging-policy.json</t>
        </is>
      </c>
      <c r="K13" t="inlineStr">
        <is>
          <t>Add AI module prototype, operator UI, and docs</t>
        </is>
      </c>
      <c r="L13" t="inlineStr">
        <is>
          <t>Initial snapshot imported from git history.</t>
        </is>
      </c>
      <c r="M13" t="inlineStr">
        <is>
          <t>True</t>
        </is>
      </c>
      <c r="N13" t="inlineStr">
        <is>
          <t>1d6b36897d83a69d4477d882c8223a346d435a26429743ae6ee6c186ed052dda</t>
        </is>
      </c>
      <c r="O13" t="inlineStr">
        <is>
          <t>src-dotnet/Ape.AiModule.Api/App_Data/ai-config-history/policies/embedding_tagging_policy_v1/20260716065908000-v1-1d6b36897d83.json</t>
        </is>
      </c>
    </row>
    <row r="14">
      <c r="A14" t="inlineStr">
        <is>
          <t>policies</t>
        </is>
      </c>
      <c r="B14" t="inlineStr">
        <is>
          <t>extracted_content_policy_v1</t>
        </is>
      </c>
      <c r="C14" t="inlineStr">
        <is>
          <t>v1</t>
        </is>
      </c>
      <c r="D14" t="inlineStr">
        <is>
          <t>ExtractedContent</t>
        </is>
      </c>
      <c r="E14" t="inlineStr"/>
      <c r="F14" t="inlineStr"/>
      <c r="G14" t="inlineStr">
        <is>
          <t>2026-07-16T06:59:08.0000000Z</t>
        </is>
      </c>
      <c r="H14" t="inlineStr">
        <is>
          <t>git_backfill</t>
        </is>
      </c>
      <c r="I14" t="inlineStr">
        <is>
          <t>511aa50726eca82952abff8f8b29642d20a4d019</t>
        </is>
      </c>
      <c r="J14" t="inlineStr">
        <is>
          <t>src-dotnet/Ape.AiModule.Api/App_Data/extracted-content-policy.json</t>
        </is>
      </c>
      <c r="K14" t="inlineStr">
        <is>
          <t>Add AI module prototype, operator UI, and docs</t>
        </is>
      </c>
      <c r="L14" t="inlineStr">
        <is>
          <t>Initial snapshot imported from git history.</t>
        </is>
      </c>
      <c r="M14" t="inlineStr">
        <is>
          <t>True</t>
        </is>
      </c>
      <c r="N14" t="inlineStr">
        <is>
          <t>68e64c1f29d17594e88353fc690067baa532b98260c6ea5032d10accdaa54864</t>
        </is>
      </c>
      <c r="O14" t="inlineStr">
        <is>
          <t>src-dotnet/Ape.AiModule.Api/App_Data/ai-config-history/policies/extracted_content_policy_v1/20260716065908000-v1-68e64c1f29d1.json</t>
        </is>
      </c>
    </row>
    <row r="15">
      <c r="A15" t="inlineStr">
        <is>
          <t>policies</t>
        </is>
      </c>
      <c r="B15" t="inlineStr">
        <is>
          <t>gatekeeper_policy_v1</t>
        </is>
      </c>
      <c r="C15" t="inlineStr">
        <is>
          <t>v1</t>
        </is>
      </c>
      <c r="D15" t="inlineStr">
        <is>
          <t>Gatekeeper</t>
        </is>
      </c>
      <c r="E15" t="inlineStr"/>
      <c r="F15" t="inlineStr"/>
      <c r="G15" t="inlineStr">
        <is>
          <t>2026-07-16T06:59:08.0000000Z</t>
        </is>
      </c>
      <c r="H15" t="inlineStr">
        <is>
          <t>git_backfill</t>
        </is>
      </c>
      <c r="I15" t="inlineStr">
        <is>
          <t>511aa50726eca82952abff8f8b29642d20a4d019</t>
        </is>
      </c>
      <c r="J15" t="inlineStr">
        <is>
          <t>src-dotnet/Ape.AiModule.Api/App_Data/gatekeeper-policy.json</t>
        </is>
      </c>
      <c r="K15" t="inlineStr">
        <is>
          <t>Add AI module prototype, operator UI, and docs</t>
        </is>
      </c>
      <c r="L15" t="inlineStr">
        <is>
          <t>Initial snapshot imported from git history.</t>
        </is>
      </c>
      <c r="M15" t="inlineStr">
        <is>
          <t>True</t>
        </is>
      </c>
      <c r="N15" t="inlineStr">
        <is>
          <t>9a509daad8c3c88e596cd5ce63833ee9465047f11f91800bad07a85cc556b81b</t>
        </is>
      </c>
      <c r="O15" t="inlineStr">
        <is>
          <t>src-dotnet/Ape.AiModule.Api/App_Data/ai-config-history/policies/gatekeeper_policy_v1/20260716065908000-v1-9a509daad8c3.json</t>
        </is>
      </c>
    </row>
    <row r="16">
      <c r="A16" t="inlineStr">
        <is>
          <t>prompts</t>
        </is>
      </c>
      <c r="B16" t="inlineStr">
        <is>
          <t>auto_tagging</t>
        </is>
      </c>
      <c r="C16" t="inlineStr">
        <is>
          <t>v2</t>
        </is>
      </c>
      <c r="D16" t="inlineStr">
        <is>
          <t>EmbeddingTagging</t>
        </is>
      </c>
      <c r="E16" t="inlineStr"/>
      <c r="F16" t="inlineStr"/>
      <c r="G16" t="inlineStr">
        <is>
          <t>2026-07-16T06:59:08.0000000Z</t>
        </is>
      </c>
      <c r="H16" t="inlineStr">
        <is>
          <t>git_backfill</t>
        </is>
      </c>
      <c r="I16" t="inlineStr">
        <is>
          <t>511aa50726eca82952abff8f8b29642d20a4d019</t>
        </is>
      </c>
      <c r="J16" t="inlineStr">
        <is>
          <t>src-dotnet/Ape.AiModule.Api/App_Data/ai-prompts.json</t>
        </is>
      </c>
      <c r="K16" t="inlineStr">
        <is>
          <t>Add AI module prototype, operator UI, and docs</t>
        </is>
      </c>
      <c r="L16" t="inlineStr">
        <is>
          <t>Initial snapshot imported from git history.</t>
        </is>
      </c>
      <c r="M16" t="inlineStr">
        <is>
          <t>True</t>
        </is>
      </c>
      <c r="N16" t="inlineStr">
        <is>
          <t>b90fb7b5667855b4aa672b35a0c696fb2f2e125bdc0e5b0f7ef192ab49c8f2b4</t>
        </is>
      </c>
      <c r="O16" t="inlineStr">
        <is>
          <t>src-dotnet/Ape.AiModule.Api/App_Data/ai-config-history/prompts/auto_tagging/20260716065908000-v2-b90fb7b56678.json</t>
        </is>
      </c>
    </row>
    <row r="17">
      <c r="A17" t="inlineStr">
        <is>
          <t>prompts</t>
        </is>
      </c>
      <c r="B17" t="inlineStr">
        <is>
          <t>auto_tagging</t>
        </is>
      </c>
      <c r="C17" t="inlineStr">
        <is>
          <t>v2</t>
        </is>
      </c>
      <c r="D17" t="inlineStr">
        <is>
          <t>EmbeddingTagging</t>
        </is>
      </c>
      <c r="E17" t="inlineStr"/>
      <c r="F17" t="inlineStr"/>
      <c r="G17" t="inlineStr">
        <is>
          <t>2026-07-17T19:00:42.0000000Z</t>
        </is>
      </c>
      <c r="H17" t="inlineStr">
        <is>
          <t>git_backfill</t>
        </is>
      </c>
      <c r="I17" t="inlineStr">
        <is>
          <t>f79e31c968a9e91132d26175ec5fddd520c6cafb</t>
        </is>
      </c>
      <c r="J17" t="inlineStr">
        <is>
          <t>src-dotnet/Ape.AiModule.Api/App_Data/ai-prompts.json</t>
        </is>
      </c>
      <c r="K17" t="inlineStr">
        <is>
          <t>fix ai module</t>
        </is>
      </c>
      <c r="L17" t="inlineStr">
        <is>
          <t>No content change relative to previous snapshot.</t>
        </is>
      </c>
      <c r="M17" t="inlineStr">
        <is>
          <t>True</t>
        </is>
      </c>
      <c r="N17" t="inlineStr">
        <is>
          <t>b90fb7b5667855b4aa672b35a0c696fb2f2e125bdc0e5b0f7ef192ab49c8f2b4</t>
        </is>
      </c>
      <c r="O17" t="inlineStr">
        <is>
          <t>src-dotnet/Ape.AiModule.Api/App_Data/ai-config-history/prompts/auto_tagging/20260717190042000-v2-b90fb7b56678.json</t>
        </is>
      </c>
    </row>
    <row r="18">
      <c r="A18" t="inlineStr">
        <is>
          <t>prompts</t>
        </is>
      </c>
      <c r="B18" t="inlineStr">
        <is>
          <t>auto_tagging</t>
        </is>
      </c>
      <c r="C18" t="inlineStr">
        <is>
          <t>v2</t>
        </is>
      </c>
      <c r="D18" t="inlineStr">
        <is>
          <t>EmbeddingTagging</t>
        </is>
      </c>
      <c r="E18" t="inlineStr"/>
      <c r="F18" t="inlineStr"/>
      <c r="G18" t="inlineStr">
        <is>
          <t>2026-07-17T20:20:33.0000000Z</t>
        </is>
      </c>
      <c r="H18" t="inlineStr">
        <is>
          <t>git_backfill</t>
        </is>
      </c>
      <c r="I18" t="inlineStr">
        <is>
          <t>414b1d8e9101455132a26bf6845c0d98b395192c</t>
        </is>
      </c>
      <c r="J18" t="inlineStr">
        <is>
          <t>src-dotnet/Ape.AiModule.Api/App_Data/ai-prompts.json</t>
        </is>
      </c>
      <c r="K18" t="inlineStr">
        <is>
          <t>update FE/PE question generation prompt quality</t>
        </is>
      </c>
      <c r="L18" t="inlineStr">
        <is>
          <t>Changed fields: UpdatedAt</t>
        </is>
      </c>
      <c r="M18" t="inlineStr">
        <is>
          <t>True</t>
        </is>
      </c>
      <c r="N18" t="inlineStr">
        <is>
          <t>687a3167cbaed18a34ebafcc68b114d6ecb1bbcf47fd7e7f48823402a2130758</t>
        </is>
      </c>
      <c r="O18" t="inlineStr">
        <is>
          <t>src-dotnet/Ape.AiModule.Api/App_Data/ai-config-history/prompts/auto_tagging/20260717202033000-v2-687a3167cbae.json</t>
        </is>
      </c>
    </row>
    <row r="19">
      <c r="A19" t="inlineStr">
        <is>
          <t>prompts</t>
        </is>
      </c>
      <c r="B19" t="inlineStr">
        <is>
          <t>auto_tagging</t>
        </is>
      </c>
      <c r="C19" t="inlineStr">
        <is>
          <t>v2</t>
        </is>
      </c>
      <c r="D19" t="inlineStr">
        <is>
          <t>EmbeddingTagging</t>
        </is>
      </c>
      <c r="E19" t="inlineStr"/>
      <c r="F19" t="inlineStr"/>
      <c r="G19" t="inlineStr">
        <is>
          <t>2026-07-18T10:21:07.3697127+00:00</t>
        </is>
      </c>
      <c r="H19" t="inlineStr">
        <is>
          <t>file_reload</t>
        </is>
      </c>
      <c r="I19" t="inlineStr"/>
      <c r="J19" t="inlineStr"/>
      <c r="K19" t="inlineStr"/>
      <c r="L19" t="inlineStr"/>
      <c r="M19" t="inlineStr">
        <is>
          <t>True</t>
        </is>
      </c>
      <c r="N19" t="inlineStr">
        <is>
          <t>2a8875cb2d90f9b9fcd1f78ebb138da978758665aa03c146cdcd8953bd86cdc3</t>
        </is>
      </c>
      <c r="O19" t="inlineStr">
        <is>
          <t>src-dotnet/Ape.AiModule.Api/App_Data/ai-config-history/prompts/auto_tagging/20260718102107369-v2-2a8875cb2d90.json</t>
        </is>
      </c>
    </row>
    <row r="20">
      <c r="A20" t="inlineStr">
        <is>
          <t>prompts</t>
        </is>
      </c>
      <c r="B20" t="inlineStr">
        <is>
          <t>code_mentor</t>
        </is>
      </c>
      <c r="C20" t="inlineStr">
        <is>
          <t>v3</t>
        </is>
      </c>
      <c r="D20" t="inlineStr">
        <is>
          <t>CodeMentor</t>
        </is>
      </c>
      <c r="E20" t="inlineStr"/>
      <c r="F20" t="inlineStr"/>
      <c r="G20" t="inlineStr">
        <is>
          <t>2026-07-16T06:59:08.0000000Z</t>
        </is>
      </c>
      <c r="H20" t="inlineStr">
        <is>
          <t>git_backfill</t>
        </is>
      </c>
      <c r="I20" t="inlineStr">
        <is>
          <t>511aa50726eca82952abff8f8b29642d20a4d019</t>
        </is>
      </c>
      <c r="J20" t="inlineStr">
        <is>
          <t>src-dotnet/Ape.AiModule.Api/App_Data/ai-prompts.json</t>
        </is>
      </c>
      <c r="K20" t="inlineStr">
        <is>
          <t>Add AI module prototype, operator UI, and docs</t>
        </is>
      </c>
      <c r="L20" t="inlineStr">
        <is>
          <t>Initial snapshot imported from git history.</t>
        </is>
      </c>
      <c r="M20" t="inlineStr">
        <is>
          <t>True</t>
        </is>
      </c>
      <c r="N20" t="inlineStr">
        <is>
          <t>4e41f3bd58b76f8f20502474a7bb142f7888773c026e91341adc7917d9a78111</t>
        </is>
      </c>
      <c r="O20" t="inlineStr">
        <is>
          <t>src-dotnet/Ape.AiModule.Api/App_Data/ai-config-history/prompts/code_mentor/20260716065908000-v3-4e41f3bd58b7.json</t>
        </is>
      </c>
    </row>
    <row r="21">
      <c r="A21" t="inlineStr">
        <is>
          <t>prompts</t>
        </is>
      </c>
      <c r="B21" t="inlineStr">
        <is>
          <t>code_mentor</t>
        </is>
      </c>
      <c r="C21" t="inlineStr">
        <is>
          <t>v3</t>
        </is>
      </c>
      <c r="D21" t="inlineStr">
        <is>
          <t>CodeMentor</t>
        </is>
      </c>
      <c r="E21" t="inlineStr"/>
      <c r="F21" t="inlineStr"/>
      <c r="G21" t="inlineStr">
        <is>
          <t>2026-07-17T19:00:42.0000000Z</t>
        </is>
      </c>
      <c r="H21" t="inlineStr">
        <is>
          <t>git_backfill</t>
        </is>
      </c>
      <c r="I21" t="inlineStr">
        <is>
          <t>f79e31c968a9e91132d26175ec5fddd520c6cafb</t>
        </is>
      </c>
      <c r="J21" t="inlineStr">
        <is>
          <t>src-dotnet/Ape.AiModule.Api/App_Data/ai-prompts.json</t>
        </is>
      </c>
      <c r="K21" t="inlineStr">
        <is>
          <t>fix ai module</t>
        </is>
      </c>
      <c r="L21" t="inlineStr">
        <is>
          <t>No content change relative to previous snapshot.</t>
        </is>
      </c>
      <c r="M21" t="inlineStr">
        <is>
          <t>True</t>
        </is>
      </c>
      <c r="N21" t="inlineStr">
        <is>
          <t>4e41f3bd58b76f8f20502474a7bb142f7888773c026e91341adc7917d9a78111</t>
        </is>
      </c>
      <c r="O21" t="inlineStr">
        <is>
          <t>src-dotnet/Ape.AiModule.Api/App_Data/ai-config-history/prompts/code_mentor/20260717190042000-v3-4e41f3bd58b7.json</t>
        </is>
      </c>
    </row>
    <row r="22">
      <c r="A22" t="inlineStr">
        <is>
          <t>prompts</t>
        </is>
      </c>
      <c r="B22" t="inlineStr">
        <is>
          <t>code_mentor</t>
        </is>
      </c>
      <c r="C22" t="inlineStr">
        <is>
          <t>v3</t>
        </is>
      </c>
      <c r="D22" t="inlineStr">
        <is>
          <t>CodeMentor</t>
        </is>
      </c>
      <c r="E22" t="inlineStr"/>
      <c r="F22" t="inlineStr"/>
      <c r="G22" t="inlineStr">
        <is>
          <t>2026-07-17T20:20:33.0000000Z</t>
        </is>
      </c>
      <c r="H22" t="inlineStr">
        <is>
          <t>git_backfill</t>
        </is>
      </c>
      <c r="I22" t="inlineStr">
        <is>
          <t>414b1d8e9101455132a26bf6845c0d98b395192c</t>
        </is>
      </c>
      <c r="J22" t="inlineStr">
        <is>
          <t>src-dotnet/Ape.AiModule.Api/App_Data/ai-prompts.json</t>
        </is>
      </c>
      <c r="K22" t="inlineStr">
        <is>
          <t>update FE/PE question generation prompt quality</t>
        </is>
      </c>
      <c r="L22" t="inlineStr">
        <is>
          <t>Changed fields: UpdatedAt</t>
        </is>
      </c>
      <c r="M22" t="inlineStr">
        <is>
          <t>True</t>
        </is>
      </c>
      <c r="N22" t="inlineStr">
        <is>
          <t>6db7f1d986db8bd9ec15e43f0b92345ffac47925022519c26741592653989d71</t>
        </is>
      </c>
      <c r="O22" t="inlineStr">
        <is>
          <t>src-dotnet/Ape.AiModule.Api/App_Data/ai-config-history/prompts/code_mentor/20260717202033000-v3-6db7f1d986db.json</t>
        </is>
      </c>
    </row>
    <row r="23">
      <c r="A23" t="inlineStr">
        <is>
          <t>prompts</t>
        </is>
      </c>
      <c r="B23" t="inlineStr">
        <is>
          <t>code_mentor</t>
        </is>
      </c>
      <c r="C23" t="inlineStr">
        <is>
          <t>v3</t>
        </is>
      </c>
      <c r="D23" t="inlineStr">
        <is>
          <t>CodeMentor</t>
        </is>
      </c>
      <c r="E23" t="inlineStr"/>
      <c r="F23" t="inlineStr"/>
      <c r="G23" t="inlineStr">
        <is>
          <t>2026-07-18T10:21:07.3779698+00:00</t>
        </is>
      </c>
      <c r="H23" t="inlineStr">
        <is>
          <t>file_reload</t>
        </is>
      </c>
      <c r="I23" t="inlineStr"/>
      <c r="J23" t="inlineStr"/>
      <c r="K23" t="inlineStr"/>
      <c r="L23" t="inlineStr"/>
      <c r="M23" t="inlineStr">
        <is>
          <t>True</t>
        </is>
      </c>
      <c r="N23" t="inlineStr">
        <is>
          <t>42bd8f5d143aaf5d50ce1bfd4af172eebf1caf0b2bc82559771a223876bbbe5b</t>
        </is>
      </c>
      <c r="O23" t="inlineStr">
        <is>
          <t>src-dotnet/Ape.AiModule.Api/App_Data/ai-config-history/prompts/code_mentor/20260718102107377-v3-42bd8f5d143a.json</t>
        </is>
      </c>
    </row>
    <row r="24">
      <c r="A24" t="inlineStr">
        <is>
          <t>prompts</t>
        </is>
      </c>
      <c r="B24" t="inlineStr">
        <is>
          <t>extract_content_vision</t>
        </is>
      </c>
      <c r="C24" t="inlineStr">
        <is>
          <t>v2</t>
        </is>
      </c>
      <c r="D24" t="inlineStr">
        <is>
          <t>ExtractedContent</t>
        </is>
      </c>
      <c r="E24" t="inlineStr"/>
      <c r="F24" t="inlineStr"/>
      <c r="G24" t="inlineStr">
        <is>
          <t>2026-07-16T06:59:08.0000000Z</t>
        </is>
      </c>
      <c r="H24" t="inlineStr">
        <is>
          <t>git_backfill</t>
        </is>
      </c>
      <c r="I24" t="inlineStr">
        <is>
          <t>511aa50726eca82952abff8f8b29642d20a4d019</t>
        </is>
      </c>
      <c r="J24" t="inlineStr">
        <is>
          <t>src-dotnet/Ape.AiModule.Api/App_Data/ai-prompts.json</t>
        </is>
      </c>
      <c r="K24" t="inlineStr">
        <is>
          <t>Add AI module prototype, operator UI, and docs</t>
        </is>
      </c>
      <c r="L24" t="inlineStr">
        <is>
          <t>Initial snapshot imported from git history.</t>
        </is>
      </c>
      <c r="M24" t="inlineStr">
        <is>
          <t>True</t>
        </is>
      </c>
      <c r="N24" t="inlineStr">
        <is>
          <t>7c22e441514978080fd71985552ea218345526a43a49ce7884ad890a1071a2ff</t>
        </is>
      </c>
      <c r="O24" t="inlineStr">
        <is>
          <t>src-dotnet/Ape.AiModule.Api/App_Data/ai-config-history/prompts/extract_content_vision/20260716065908000-v2-7c22e4415149.json</t>
        </is>
      </c>
    </row>
    <row r="25">
      <c r="A25" t="inlineStr">
        <is>
          <t>prompts</t>
        </is>
      </c>
      <c r="B25" t="inlineStr">
        <is>
          <t>extract_content_vision</t>
        </is>
      </c>
      <c r="C25" t="inlineStr">
        <is>
          <t>v2</t>
        </is>
      </c>
      <c r="D25" t="inlineStr">
        <is>
          <t>ExtractedContent</t>
        </is>
      </c>
      <c r="E25" t="inlineStr"/>
      <c r="F25" t="inlineStr"/>
      <c r="G25" t="inlineStr">
        <is>
          <t>2026-07-17T19:00:42.0000000Z</t>
        </is>
      </c>
      <c r="H25" t="inlineStr">
        <is>
          <t>git_backfill</t>
        </is>
      </c>
      <c r="I25" t="inlineStr">
        <is>
          <t>f79e31c968a9e91132d26175ec5fddd520c6cafb</t>
        </is>
      </c>
      <c r="J25" t="inlineStr">
        <is>
          <t>src-dotnet/Ape.AiModule.Api/App_Data/ai-prompts.json</t>
        </is>
      </c>
      <c r="K25" t="inlineStr">
        <is>
          <t>fix ai module</t>
        </is>
      </c>
      <c r="L25" t="inlineStr">
        <is>
          <t>No content change relative to previous snapshot.</t>
        </is>
      </c>
      <c r="M25" t="inlineStr">
        <is>
          <t>True</t>
        </is>
      </c>
      <c r="N25" t="inlineStr">
        <is>
          <t>7c22e441514978080fd71985552ea218345526a43a49ce7884ad890a1071a2ff</t>
        </is>
      </c>
      <c r="O25" t="inlineStr">
        <is>
          <t>src-dotnet/Ape.AiModule.Api/App_Data/ai-config-history/prompts/extract_content_vision/20260717190042000-v2-7c22e4415149.json</t>
        </is>
      </c>
    </row>
    <row r="26">
      <c r="A26" t="inlineStr">
        <is>
          <t>prompts</t>
        </is>
      </c>
      <c r="B26" t="inlineStr">
        <is>
          <t>extract_content_vision</t>
        </is>
      </c>
      <c r="C26" t="inlineStr">
        <is>
          <t>v2</t>
        </is>
      </c>
      <c r="D26" t="inlineStr">
        <is>
          <t>ExtractedContent</t>
        </is>
      </c>
      <c r="E26" t="inlineStr"/>
      <c r="F26" t="inlineStr"/>
      <c r="G26" t="inlineStr">
        <is>
          <t>2026-07-17T20:20:33.0000000Z</t>
        </is>
      </c>
      <c r="H26" t="inlineStr">
        <is>
          <t>git_backfill</t>
        </is>
      </c>
      <c r="I26" t="inlineStr">
        <is>
          <t>414b1d8e9101455132a26bf6845c0d98b395192c</t>
        </is>
      </c>
      <c r="J26" t="inlineStr">
        <is>
          <t>src-dotnet/Ape.AiModule.Api/App_Data/ai-prompts.json</t>
        </is>
      </c>
      <c r="K26" t="inlineStr">
        <is>
          <t>update FE/PE question generation prompt quality</t>
        </is>
      </c>
      <c r="L26" t="inlineStr">
        <is>
          <t>Changed fields: UpdatedAt</t>
        </is>
      </c>
      <c r="M26" t="inlineStr">
        <is>
          <t>True</t>
        </is>
      </c>
      <c r="N26" t="inlineStr">
        <is>
          <t>1489a766e22effaa72acec2e5605fa2618916d2c21741bf6579b66a699b07d8e</t>
        </is>
      </c>
      <c r="O26" t="inlineStr">
        <is>
          <t>src-dotnet/Ape.AiModule.Api/App_Data/ai-config-history/prompts/extract_content_vision/20260717202033000-v2-1489a766e22e.json</t>
        </is>
      </c>
    </row>
    <row r="27">
      <c r="A27" t="inlineStr">
        <is>
          <t>prompts</t>
        </is>
      </c>
      <c r="B27" t="inlineStr">
        <is>
          <t>extract_content_vision</t>
        </is>
      </c>
      <c r="C27" t="inlineStr">
        <is>
          <t>v2</t>
        </is>
      </c>
      <c r="D27" t="inlineStr">
        <is>
          <t>ExtractedContent</t>
        </is>
      </c>
      <c r="E27" t="inlineStr"/>
      <c r="F27" t="inlineStr"/>
      <c r="G27" t="inlineStr">
        <is>
          <t>2026-07-18T10:21:07.3669756+00:00</t>
        </is>
      </c>
      <c r="H27" t="inlineStr">
        <is>
          <t>file_reload</t>
        </is>
      </c>
      <c r="I27" t="inlineStr"/>
      <c r="J27" t="inlineStr"/>
      <c r="K27" t="inlineStr"/>
      <c r="L27" t="inlineStr"/>
      <c r="M27" t="inlineStr">
        <is>
          <t>True</t>
        </is>
      </c>
      <c r="N27" t="inlineStr">
        <is>
          <t>3710f0e54720d10c1ca3b96fa9d4e24ffe236f0ddb18f19d4c31f61f1c627012</t>
        </is>
      </c>
      <c r="O27" t="inlineStr">
        <is>
          <t>src-dotnet/Ape.AiModule.Api/App_Data/ai-config-history/prompts/extract_content_vision/20260718102107366-v2-3710f0e54720.json</t>
        </is>
      </c>
    </row>
    <row r="28">
      <c r="A28" t="inlineStr">
        <is>
          <t>prompts</t>
        </is>
      </c>
      <c r="B28" t="inlineStr">
        <is>
          <t>gatekeeper</t>
        </is>
      </c>
      <c r="C28" t="inlineStr">
        <is>
          <t>v2</t>
        </is>
      </c>
      <c r="D28" t="inlineStr">
        <is>
          <t>Gatekeeper</t>
        </is>
      </c>
      <c r="E28" t="inlineStr"/>
      <c r="F28" t="inlineStr"/>
      <c r="G28" t="inlineStr">
        <is>
          <t>2026-07-16T06:59:08.0000000Z</t>
        </is>
      </c>
      <c r="H28" t="inlineStr">
        <is>
          <t>git_backfill</t>
        </is>
      </c>
      <c r="I28" t="inlineStr">
        <is>
          <t>511aa50726eca82952abff8f8b29642d20a4d019</t>
        </is>
      </c>
      <c r="J28" t="inlineStr">
        <is>
          <t>src-dotnet/Ape.AiModule.Api/App_Data/ai-prompts.json</t>
        </is>
      </c>
      <c r="K28" t="inlineStr">
        <is>
          <t>Add AI module prototype, operator UI, and docs</t>
        </is>
      </c>
      <c r="L28" t="inlineStr">
        <is>
          <t>Initial snapshot imported from git history.</t>
        </is>
      </c>
      <c r="M28" t="inlineStr">
        <is>
          <t>True</t>
        </is>
      </c>
      <c r="N28" t="inlineStr">
        <is>
          <t>6f1f8916905bd6e4371f4a84b4d3bb1ebda3baaef19eeffc733c108f6ab26c63</t>
        </is>
      </c>
      <c r="O28" t="inlineStr">
        <is>
          <t>src-dotnet/Ape.AiModule.Api/App_Data/ai-config-history/prompts/gatekeeper/20260716065908000-v2-6f1f8916905b.json</t>
        </is>
      </c>
    </row>
    <row r="29">
      <c r="A29" t="inlineStr">
        <is>
          <t>prompts</t>
        </is>
      </c>
      <c r="B29" t="inlineStr">
        <is>
          <t>gatekeeper</t>
        </is>
      </c>
      <c r="C29" t="inlineStr">
        <is>
          <t>v2</t>
        </is>
      </c>
      <c r="D29" t="inlineStr">
        <is>
          <t>Gatekeeper</t>
        </is>
      </c>
      <c r="E29" t="inlineStr"/>
      <c r="F29" t="inlineStr"/>
      <c r="G29" t="inlineStr">
        <is>
          <t>2026-07-17T19:00:42.0000000Z</t>
        </is>
      </c>
      <c r="H29" t="inlineStr">
        <is>
          <t>git_backfill</t>
        </is>
      </c>
      <c r="I29" t="inlineStr">
        <is>
          <t>f79e31c968a9e91132d26175ec5fddd520c6cafb</t>
        </is>
      </c>
      <c r="J29" t="inlineStr">
        <is>
          <t>src-dotnet/Ape.AiModule.Api/App_Data/ai-prompts.json</t>
        </is>
      </c>
      <c r="K29" t="inlineStr">
        <is>
          <t>fix ai module</t>
        </is>
      </c>
      <c r="L29" t="inlineStr">
        <is>
          <t>No content change relative to previous snapshot.</t>
        </is>
      </c>
      <c r="M29" t="inlineStr">
        <is>
          <t>True</t>
        </is>
      </c>
      <c r="N29" t="inlineStr">
        <is>
          <t>6f1f8916905bd6e4371f4a84b4d3bb1ebda3baaef19eeffc733c108f6ab26c63</t>
        </is>
      </c>
      <c r="O29" t="inlineStr">
        <is>
          <t>src-dotnet/Ape.AiModule.Api/App_Data/ai-config-history/prompts/gatekeeper/20260717190042000-v2-6f1f8916905b.json</t>
        </is>
      </c>
    </row>
    <row r="30">
      <c r="A30" t="inlineStr">
        <is>
          <t>prompts</t>
        </is>
      </c>
      <c r="B30" t="inlineStr">
        <is>
          <t>gatekeeper</t>
        </is>
      </c>
      <c r="C30" t="inlineStr">
        <is>
          <t>v2</t>
        </is>
      </c>
      <c r="D30" t="inlineStr">
        <is>
          <t>Gatekeeper</t>
        </is>
      </c>
      <c r="E30" t="inlineStr"/>
      <c r="F30" t="inlineStr"/>
      <c r="G30" t="inlineStr">
        <is>
          <t>2026-07-17T20:20:33.0000000Z</t>
        </is>
      </c>
      <c r="H30" t="inlineStr">
        <is>
          <t>git_backfill</t>
        </is>
      </c>
      <c r="I30" t="inlineStr">
        <is>
          <t>414b1d8e9101455132a26bf6845c0d98b395192c</t>
        </is>
      </c>
      <c r="J30" t="inlineStr">
        <is>
          <t>src-dotnet/Ape.AiModule.Api/App_Data/ai-prompts.json</t>
        </is>
      </c>
      <c r="K30" t="inlineStr">
        <is>
          <t>update FE/PE question generation prompt quality</t>
        </is>
      </c>
      <c r="L30" t="inlineStr">
        <is>
          <t>Changed fields: UpdatedAt</t>
        </is>
      </c>
      <c r="M30" t="inlineStr">
        <is>
          <t>True</t>
        </is>
      </c>
      <c r="N30" t="inlineStr">
        <is>
          <t>508ded9c086e41d60b74b677e2f2b5f46f79b2478ec2744543eb5149af33e395</t>
        </is>
      </c>
      <c r="O30" t="inlineStr">
        <is>
          <t>src-dotnet/Ape.AiModule.Api/App_Data/ai-config-history/prompts/gatekeeper/20260717202033000-v2-508ded9c086e.json</t>
        </is>
      </c>
    </row>
    <row r="31">
      <c r="A31" t="inlineStr">
        <is>
          <t>prompts</t>
        </is>
      </c>
      <c r="B31" t="inlineStr">
        <is>
          <t>gatekeeper</t>
        </is>
      </c>
      <c r="C31" t="inlineStr">
        <is>
          <t>v2</t>
        </is>
      </c>
      <c r="D31" t="inlineStr">
        <is>
          <t>Gatekeeper</t>
        </is>
      </c>
      <c r="E31" t="inlineStr"/>
      <c r="F31" t="inlineStr"/>
      <c r="G31" t="inlineStr">
        <is>
          <t>2026-07-18T10:21:07.349702+00:00</t>
        </is>
      </c>
      <c r="H31" t="inlineStr">
        <is>
          <t>file_reload</t>
        </is>
      </c>
      <c r="I31" t="inlineStr"/>
      <c r="J31" t="inlineStr"/>
      <c r="K31" t="inlineStr"/>
      <c r="L31" t="inlineStr"/>
      <c r="M31" t="inlineStr">
        <is>
          <t>True</t>
        </is>
      </c>
      <c r="N31" t="inlineStr">
        <is>
          <t>96bd84c6c4a5b2409252e4ff479d9dc44303d44989fc2ef0c9809b3c5aca2e8b</t>
        </is>
      </c>
      <c r="O31" t="inlineStr">
        <is>
          <t>src-dotnet/Ape.AiModule.Api/App_Data/ai-config-history/prompts/gatekeeper/20260718102107349-v2-96bd84c6c4a5.json</t>
        </is>
      </c>
    </row>
    <row r="32">
      <c r="A32" t="inlineStr">
        <is>
          <t>prompts</t>
        </is>
      </c>
      <c r="B32" t="inlineStr">
        <is>
          <t>question_generation</t>
        </is>
      </c>
      <c r="C32" t="inlineStr">
        <is>
          <t>v2</t>
        </is>
      </c>
      <c r="D32" t="inlineStr">
        <is>
          <t>QuestionGeneration</t>
        </is>
      </c>
      <c r="E32" t="inlineStr"/>
      <c r="F32" t="inlineStr"/>
      <c r="G32" t="inlineStr">
        <is>
          <t>2026-07-16T06:59:08.0000000Z</t>
        </is>
      </c>
      <c r="H32" t="inlineStr">
        <is>
          <t>git_backfill</t>
        </is>
      </c>
      <c r="I32" t="inlineStr">
        <is>
          <t>511aa50726eca82952abff8f8b29642d20a4d019</t>
        </is>
      </c>
      <c r="J32" t="inlineStr">
        <is>
          <t>src-dotnet/Ape.AiModule.Api/App_Data/ai-prompts.json</t>
        </is>
      </c>
      <c r="K32" t="inlineStr">
        <is>
          <t>Add AI module prototype, operator UI, and docs</t>
        </is>
      </c>
      <c r="L32" t="inlineStr">
        <is>
          <t>Initial snapshot imported from git history.</t>
        </is>
      </c>
      <c r="M32" t="inlineStr">
        <is>
          <t>True</t>
        </is>
      </c>
      <c r="N32" t="inlineStr">
        <is>
          <t>0a3e9ab58483ea540039bf9da3974f9c879181c738fb053ad00f2affac786d97</t>
        </is>
      </c>
      <c r="O32" t="inlineStr">
        <is>
          <t>src-dotnet/Ape.AiModule.Api/App_Data/ai-config-history/prompts/question_generation/20260716065908000-v2-0a3e9ab58483.json</t>
        </is>
      </c>
    </row>
    <row r="33">
      <c r="A33" t="inlineStr">
        <is>
          <t>prompts</t>
        </is>
      </c>
      <c r="B33" t="inlineStr">
        <is>
          <t>question_generation</t>
        </is>
      </c>
      <c r="C33" t="inlineStr">
        <is>
          <t>v4</t>
        </is>
      </c>
      <c r="D33" t="inlineStr">
        <is>
          <t>QuestionGeneration</t>
        </is>
      </c>
      <c r="E33" t="inlineStr"/>
      <c r="F33" t="inlineStr"/>
      <c r="G33" t="inlineStr">
        <is>
          <t>2026-07-17T19:00:42.0000000Z</t>
        </is>
      </c>
      <c r="H33" t="inlineStr">
        <is>
          <t>git_backfill</t>
        </is>
      </c>
      <c r="I33" t="inlineStr">
        <is>
          <t>f79e31c968a9e91132d26175ec5fddd520c6cafb</t>
        </is>
      </c>
      <c r="J33" t="inlineStr">
        <is>
          <t>src-dotnet/Ape.AiModule.Api/App_Data/ai-prompts.json</t>
        </is>
      </c>
      <c r="K33" t="inlineStr">
        <is>
          <t>fix ai module</t>
        </is>
      </c>
      <c r="L33" t="inlineStr">
        <is>
          <t>Changed fields: SystemPrompt, UserPrompt, Version</t>
        </is>
      </c>
      <c r="M33" t="inlineStr">
        <is>
          <t>True</t>
        </is>
      </c>
      <c r="N33" t="inlineStr">
        <is>
          <t>993fbf8b9ea36bf60e7fa03bf9e3f2063d99e9304de321248e313b54d50cfb2f</t>
        </is>
      </c>
      <c r="O33" t="inlineStr">
        <is>
          <t>src-dotnet/Ape.AiModule.Api/App_Data/ai-config-history/prompts/question_generation/20260717190042000-v4-993fbf8b9ea3.json</t>
        </is>
      </c>
    </row>
    <row r="34">
      <c r="A34" t="inlineStr">
        <is>
          <t>prompts</t>
        </is>
      </c>
      <c r="B34" t="inlineStr">
        <is>
          <t>question_generation</t>
        </is>
      </c>
      <c r="C34" t="inlineStr">
        <is>
          <t>v8</t>
        </is>
      </c>
      <c r="D34" t="inlineStr">
        <is>
          <t>QuestionGeneration</t>
        </is>
      </c>
      <c r="E34" t="inlineStr"/>
      <c r="F34" t="inlineStr"/>
      <c r="G34" t="inlineStr">
        <is>
          <t>2026-07-17T20:20:33.0000000Z</t>
        </is>
      </c>
      <c r="H34" t="inlineStr">
        <is>
          <t>git_backfill</t>
        </is>
      </c>
      <c r="I34" t="inlineStr">
        <is>
          <t>414b1d8e9101455132a26bf6845c0d98b395192c</t>
        </is>
      </c>
      <c r="J34" t="inlineStr">
        <is>
          <t>src-dotnet/Ape.AiModule.Api/App_Data/ai-prompts.json</t>
        </is>
      </c>
      <c r="K34" t="inlineStr">
        <is>
          <t>update FE/PE question generation prompt quality</t>
        </is>
      </c>
      <c r="L34" t="inlineStr">
        <is>
          <t>Changed fields: UpdatedAt, UserPrompt, Version</t>
        </is>
      </c>
      <c r="M34" t="inlineStr">
        <is>
          <t>True</t>
        </is>
      </c>
      <c r="N34" t="inlineStr">
        <is>
          <t>0f93c23f042cfe7a5ac92e6930160431c07ba3a0859bce38c6830920810d906d</t>
        </is>
      </c>
      <c r="O34" t="inlineStr">
        <is>
          <t>src-dotnet/Ape.AiModule.Api/App_Data/ai-config-history/prompts/question_generation/20260717202033000-v8-0f93c23f042c.json</t>
        </is>
      </c>
    </row>
    <row r="35">
      <c r="A35" t="inlineStr">
        <is>
          <t>prompts</t>
        </is>
      </c>
      <c r="B35" t="inlineStr">
        <is>
          <t>question_generation</t>
        </is>
      </c>
      <c r="C35" t="inlineStr">
        <is>
          <t>v8</t>
        </is>
      </c>
      <c r="D35" t="inlineStr">
        <is>
          <t>QuestionGeneration</t>
        </is>
      </c>
      <c r="E35" t="inlineStr"/>
      <c r="F35" t="inlineStr"/>
      <c r="G35" t="inlineStr">
        <is>
          <t>2026-07-18T10:21:07.371012+00:00</t>
        </is>
      </c>
      <c r="H35" t="inlineStr">
        <is>
          <t>file_reload</t>
        </is>
      </c>
      <c r="I35" t="inlineStr"/>
      <c r="J35" t="inlineStr"/>
      <c r="K35" t="inlineStr"/>
      <c r="L35" t="inlineStr"/>
      <c r="M35" t="inlineStr">
        <is>
          <t>True</t>
        </is>
      </c>
      <c r="N35" t="inlineStr">
        <is>
          <t>548478b05470c673e8db4e1c815e83f74a0720cd87dcf3fe0efbcd533281ba8e</t>
        </is>
      </c>
      <c r="O35" t="inlineStr">
        <is>
          <t>src-dotnet/Ape.AiModule.Api/App_Data/ai-config-history/prompts/question_generation/20260718102107371-v8-548478b05470.json</t>
        </is>
      </c>
    </row>
    <row r="36">
      <c r="A36" t="inlineStr">
        <is>
          <t>prompts</t>
        </is>
      </c>
      <c r="B36" t="inlineStr">
        <is>
          <t>question_generation_repair</t>
        </is>
      </c>
      <c r="C36" t="inlineStr">
        <is>
          <t>v1</t>
        </is>
      </c>
      <c r="D36" t="inlineStr">
        <is>
          <t>QuestionGenerationRepair</t>
        </is>
      </c>
      <c r="E36" t="inlineStr"/>
      <c r="F36" t="inlineStr"/>
      <c r="G36" t="inlineStr">
        <is>
          <t>2026-07-17T20:20:33.0000000Z</t>
        </is>
      </c>
      <c r="H36" t="inlineStr">
        <is>
          <t>git_backfill</t>
        </is>
      </c>
      <c r="I36" t="inlineStr">
        <is>
          <t>414b1d8e9101455132a26bf6845c0d98b395192c</t>
        </is>
      </c>
      <c r="J36" t="inlineStr">
        <is>
          <t>src-dotnet/Ape.AiModule.Api/App_Data/ai-prompts.json</t>
        </is>
      </c>
      <c r="K36" t="inlineStr">
        <is>
          <t>update FE/PE question generation prompt quality</t>
        </is>
      </c>
      <c r="L36" t="inlineStr">
        <is>
          <t>Initial snapshot imported from git history.</t>
        </is>
      </c>
      <c r="M36" t="inlineStr">
        <is>
          <t>True</t>
        </is>
      </c>
      <c r="N36" t="inlineStr">
        <is>
          <t>626ecd234306d0e3480e7e7a209e488953bc23a5e2c674443630b399254dc56b</t>
        </is>
      </c>
      <c r="O36" t="inlineStr">
        <is>
          <t>src-dotnet/Ape.AiModule.Api/App_Data/ai-config-history/prompts/question_generation_repair/20260717202033000-v1-626ecd234306.json</t>
        </is>
      </c>
    </row>
    <row r="37">
      <c r="A37" t="inlineStr">
        <is>
          <t>prompts</t>
        </is>
      </c>
      <c r="B37" t="inlineStr">
        <is>
          <t>question_generation_repair</t>
        </is>
      </c>
      <c r="C37" t="inlineStr">
        <is>
          <t>v1</t>
        </is>
      </c>
      <c r="D37" t="inlineStr">
        <is>
          <t>QuestionGenerationRepair</t>
        </is>
      </c>
      <c r="E37" t="inlineStr"/>
      <c r="F37" t="inlineStr"/>
      <c r="G37" t="inlineStr">
        <is>
          <t>2026-07-18T10:21:07.3741961+00:00</t>
        </is>
      </c>
      <c r="H37" t="inlineStr">
        <is>
          <t>file_reload</t>
        </is>
      </c>
      <c r="I37" t="inlineStr"/>
      <c r="J37" t="inlineStr"/>
      <c r="K37" t="inlineStr"/>
      <c r="L37" t="inlineStr"/>
      <c r="M37" t="inlineStr">
        <is>
          <t>True</t>
        </is>
      </c>
      <c r="N37" t="inlineStr">
        <is>
          <t>7b86f0a28465db84f41039c706b08c919e547a7fcc16a7709f8a045e88509c67</t>
        </is>
      </c>
      <c r="O37" t="inlineStr">
        <is>
          <t>src-dotnet/Ape.AiModule.Api/App_Data/ai-config-history/prompts/question_generation_repair/20260718102107374-v1-7b86f0a28465.json</t>
        </is>
      </c>
    </row>
    <row r="38">
      <c r="A38" t="inlineStr">
        <is>
          <t>prompts</t>
        </is>
      </c>
      <c r="B38" t="inlineStr">
        <is>
          <t>question_review</t>
        </is>
      </c>
      <c r="C38" t="inlineStr">
        <is>
          <t>v2</t>
        </is>
      </c>
      <c r="D38" t="inlineStr">
        <is>
          <t>QuestionReview</t>
        </is>
      </c>
      <c r="E38" t="inlineStr"/>
      <c r="F38" t="inlineStr"/>
      <c r="G38" t="inlineStr">
        <is>
          <t>2026-07-16T06:59:08.0000000Z</t>
        </is>
      </c>
      <c r="H38" t="inlineStr">
        <is>
          <t>git_backfill</t>
        </is>
      </c>
      <c r="I38" t="inlineStr">
        <is>
          <t>511aa50726eca82952abff8f8b29642d20a4d019</t>
        </is>
      </c>
      <c r="J38" t="inlineStr">
        <is>
          <t>src-dotnet/Ape.AiModule.Api/App_Data/ai-prompts.json</t>
        </is>
      </c>
      <c r="K38" t="inlineStr">
        <is>
          <t>Add AI module prototype, operator UI, and docs</t>
        </is>
      </c>
      <c r="L38" t="inlineStr">
        <is>
          <t>Initial snapshot imported from git history.</t>
        </is>
      </c>
      <c r="M38" t="inlineStr">
        <is>
          <t>True</t>
        </is>
      </c>
      <c r="N38" t="inlineStr">
        <is>
          <t>89a083828ad477d3ae87803073f41b4e3765d91e91c6897c83fe3db7f82c56a5</t>
        </is>
      </c>
      <c r="O38" t="inlineStr">
        <is>
          <t>src-dotnet/Ape.AiModule.Api/App_Data/ai-config-history/prompts/question_review/20260716065908000-v2-89a083828ad4.json</t>
        </is>
      </c>
    </row>
    <row r="39">
      <c r="A39" t="inlineStr">
        <is>
          <t>prompts</t>
        </is>
      </c>
      <c r="B39" t="inlineStr">
        <is>
          <t>question_review</t>
        </is>
      </c>
      <c r="C39" t="inlineStr">
        <is>
          <t>v4</t>
        </is>
      </c>
      <c r="D39" t="inlineStr">
        <is>
          <t>QuestionReview</t>
        </is>
      </c>
      <c r="E39" t="inlineStr"/>
      <c r="F39" t="inlineStr"/>
      <c r="G39" t="inlineStr">
        <is>
          <t>2026-07-17T19:00:42.0000000Z</t>
        </is>
      </c>
      <c r="H39" t="inlineStr">
        <is>
          <t>git_backfill</t>
        </is>
      </c>
      <c r="I39" t="inlineStr">
        <is>
          <t>f79e31c968a9e91132d26175ec5fddd520c6cafb</t>
        </is>
      </c>
      <c r="J39" t="inlineStr">
        <is>
          <t>src-dotnet/Ape.AiModule.Api/App_Data/ai-prompts.json</t>
        </is>
      </c>
      <c r="K39" t="inlineStr">
        <is>
          <t>fix ai module</t>
        </is>
      </c>
      <c r="L39" t="inlineStr">
        <is>
          <t>Changed fields: SystemPrompt, UserPrompt, Version</t>
        </is>
      </c>
      <c r="M39" t="inlineStr">
        <is>
          <t>True</t>
        </is>
      </c>
      <c r="N39" t="inlineStr">
        <is>
          <t>b5c616015a5dfbf04268856f5af88718820015d191df55ba722aabb1e99ffc54</t>
        </is>
      </c>
      <c r="O39" t="inlineStr">
        <is>
          <t>src-dotnet/Ape.AiModule.Api/App_Data/ai-config-history/prompts/question_review/20260717190042000-v4-b5c616015a5d.json</t>
        </is>
      </c>
    </row>
    <row r="40">
      <c r="A40" t="inlineStr">
        <is>
          <t>prompts</t>
        </is>
      </c>
      <c r="B40" t="inlineStr">
        <is>
          <t>question_review</t>
        </is>
      </c>
      <c r="C40" t="inlineStr">
        <is>
          <t>v7</t>
        </is>
      </c>
      <c r="D40" t="inlineStr">
        <is>
          <t>QuestionReview</t>
        </is>
      </c>
      <c r="E40" t="inlineStr"/>
      <c r="F40" t="inlineStr"/>
      <c r="G40" t="inlineStr">
        <is>
          <t>2026-07-17T20:20:33.0000000Z</t>
        </is>
      </c>
      <c r="H40" t="inlineStr">
        <is>
          <t>git_backfill</t>
        </is>
      </c>
      <c r="I40" t="inlineStr">
        <is>
          <t>414b1d8e9101455132a26bf6845c0d98b395192c</t>
        </is>
      </c>
      <c r="J40" t="inlineStr">
        <is>
          <t>src-dotnet/Ape.AiModule.Api/App_Data/ai-prompts.json</t>
        </is>
      </c>
      <c r="K40" t="inlineStr">
        <is>
          <t>update FE/PE question generation prompt quality</t>
        </is>
      </c>
      <c r="L40" t="inlineStr">
        <is>
          <t>Changed fields: SystemPrompt, UpdatedAt, UserPrompt, Version</t>
        </is>
      </c>
      <c r="M40" t="inlineStr">
        <is>
          <t>True</t>
        </is>
      </c>
      <c r="N40" t="inlineStr">
        <is>
          <t>2888728ef063487d473f53590b0ad11a54e5fdea007a4ce26712b72ca095288b</t>
        </is>
      </c>
      <c r="O40" t="inlineStr">
        <is>
          <t>src-dotnet/Ape.AiModule.Api/App_Data/ai-config-history/prompts/question_review/20260717202033000-v7-2888728ef063.json</t>
        </is>
      </c>
    </row>
    <row r="41">
      <c r="A41" t="inlineStr">
        <is>
          <t>prompts</t>
        </is>
      </c>
      <c r="B41" t="inlineStr">
        <is>
          <t>question_review</t>
        </is>
      </c>
      <c r="C41" t="inlineStr">
        <is>
          <t>v7</t>
        </is>
      </c>
      <c r="D41" t="inlineStr">
        <is>
          <t>QuestionReview</t>
        </is>
      </c>
      <c r="E41" t="inlineStr"/>
      <c r="F41" t="inlineStr"/>
      <c r="G41" t="inlineStr">
        <is>
          <t>2026-07-18T10:21:07.3764268+00:00</t>
        </is>
      </c>
      <c r="H41" t="inlineStr">
        <is>
          <t>file_reload</t>
        </is>
      </c>
      <c r="I41" t="inlineStr"/>
      <c r="J41" t="inlineStr"/>
      <c r="K41" t="inlineStr"/>
      <c r="L41" t="inlineStr"/>
      <c r="M41" t="inlineStr">
        <is>
          <t>True</t>
        </is>
      </c>
      <c r="N41" t="inlineStr">
        <is>
          <t>e8fafa183aa6a75437330882ad25a7ae69007a5e24f50331565fddf387a5cfbe</t>
        </is>
      </c>
      <c r="O41" t="inlineStr">
        <is>
          <t>src-dotnet/Ape.AiModule.Api/App_Data/ai-config-history/prompts/question_review/20260718102107376-v7-e8fafa183aa6.json</t>
        </is>
      </c>
    </row>
    <row r="42">
      <c r="A42" t="inlineStr">
        <is>
          <t>rubrics</t>
        </is>
      </c>
      <c r="B42" t="inlineStr">
        <is>
          <t>CODE_MENTOR</t>
        </is>
      </c>
      <c r="C42" t="inlineStr">
        <is>
          <t>v1</t>
        </is>
      </c>
      <c r="D42" t="inlineStr">
        <is>
          <t>CodeMentor</t>
        </is>
      </c>
      <c r="E42" t="inlineStr"/>
      <c r="F42" t="inlineStr"/>
      <c r="G42" t="inlineStr">
        <is>
          <t>2026-07-16T06:59:08.0000000Z</t>
        </is>
      </c>
      <c r="H42" t="inlineStr">
        <is>
          <t>git_backfill</t>
        </is>
      </c>
      <c r="I42" t="inlineStr">
        <is>
          <t>511aa50726eca82952abff8f8b29642d20a4d019</t>
        </is>
      </c>
      <c r="J42" t="inlineStr">
        <is>
          <t>src-dotnet/Ape.AiModule.Api/App_Data/ai-rubrics/CODE_MENTOR.json</t>
        </is>
      </c>
      <c r="K42" t="inlineStr">
        <is>
          <t>Add AI module prototype, operator UI, and docs</t>
        </is>
      </c>
      <c r="L42" t="inlineStr">
        <is>
          <t>Initial snapshot imported from git history.</t>
        </is>
      </c>
      <c r="M42" t="inlineStr">
        <is>
          <t>True</t>
        </is>
      </c>
      <c r="N42" t="inlineStr">
        <is>
          <t>75c79c3382fdece783c23d626e817c925c46da30e3ddaf4f059246ba4b93a9ff</t>
        </is>
      </c>
      <c r="O42" t="inlineStr">
        <is>
          <t>src-dotnet/Ape.AiModule.Api/App_Data/ai-config-history/rubrics/CODE_MENTOR/20260716065908000-v1-75c79c3382fd.json</t>
        </is>
      </c>
    </row>
    <row r="43">
      <c r="A43" t="inlineStr">
        <is>
          <t>rubrics</t>
        </is>
      </c>
      <c r="B43" t="inlineStr">
        <is>
          <t>C_FE</t>
        </is>
      </c>
      <c r="C43" t="inlineStr">
        <is>
          <t>v1</t>
        </is>
      </c>
      <c r="D43" t="inlineStr"/>
      <c r="E43" t="inlineStr">
        <is>
          <t>C</t>
        </is>
      </c>
      <c r="F43" t="inlineStr">
        <is>
          <t>FE</t>
        </is>
      </c>
      <c r="G43" t="inlineStr">
        <is>
          <t>2026-07-16T06:59:08.0000000Z</t>
        </is>
      </c>
      <c r="H43" t="inlineStr">
        <is>
          <t>git_backfill</t>
        </is>
      </c>
      <c r="I43" t="inlineStr">
        <is>
          <t>511aa50726eca82952abff8f8b29642d20a4d019</t>
        </is>
      </c>
      <c r="J43" t="inlineStr">
        <is>
          <t>src-dotnet/Ape.AiModule.Api/App_Data/ai-rubrics/C_FE.json</t>
        </is>
      </c>
      <c r="K43" t="inlineStr">
        <is>
          <t>Add AI module prototype, operator UI, and docs</t>
        </is>
      </c>
      <c r="L43" t="inlineStr">
        <is>
          <t>Initial snapshot imported from git history.</t>
        </is>
      </c>
      <c r="M43" t="inlineStr">
        <is>
          <t>True</t>
        </is>
      </c>
      <c r="N43" t="inlineStr">
        <is>
          <t>908f937829390037723d31649adf95546d0351ee02e36ed92e035741f4211d96</t>
        </is>
      </c>
      <c r="O43" t="inlineStr">
        <is>
          <t>src-dotnet/Ape.AiModule.Api/App_Data/ai-config-history/rubrics/C_FE/20260716065908000-v1-908f93782939.json</t>
        </is>
      </c>
    </row>
    <row r="44">
      <c r="A44" t="inlineStr">
        <is>
          <t>rubrics</t>
        </is>
      </c>
      <c r="B44" t="inlineStr">
        <is>
          <t>C_PE</t>
        </is>
      </c>
      <c r="C44" t="inlineStr">
        <is>
          <t>v1</t>
        </is>
      </c>
      <c r="D44" t="inlineStr"/>
      <c r="E44" t="inlineStr">
        <is>
          <t>C</t>
        </is>
      </c>
      <c r="F44" t="inlineStr">
        <is>
          <t>PE</t>
        </is>
      </c>
      <c r="G44" t="inlineStr">
        <is>
          <t>2026-07-16T06:59:08.0000000Z</t>
        </is>
      </c>
      <c r="H44" t="inlineStr">
        <is>
          <t>git_backfill</t>
        </is>
      </c>
      <c r="I44" t="inlineStr">
        <is>
          <t>511aa50726eca82952abff8f8b29642d20a4d019</t>
        </is>
      </c>
      <c r="J44" t="inlineStr">
        <is>
          <t>src-dotnet/Ape.AiModule.Api/App_Data/ai-rubrics/C_PE.json</t>
        </is>
      </c>
      <c r="K44" t="inlineStr">
        <is>
          <t>Add AI module prototype, operator UI, and docs</t>
        </is>
      </c>
      <c r="L44" t="inlineStr">
        <is>
          <t>Initial snapshot imported from git history.</t>
        </is>
      </c>
      <c r="M44" t="inlineStr">
        <is>
          <t>True</t>
        </is>
      </c>
      <c r="N44" t="inlineStr">
        <is>
          <t>2a85a35d6fd99043a13ced6a6a67bea636f11f0be9944f3c697adc4c9924defe</t>
        </is>
      </c>
      <c r="O44" t="inlineStr">
        <is>
          <t>src-dotnet/Ape.AiModule.Api/App_Data/ai-config-history/rubrics/C_PE/20260716065908000-v1-2a85a35d6fd9.json</t>
        </is>
      </c>
    </row>
    <row r="45">
      <c r="A45" t="inlineStr">
        <is>
          <t>rubrics</t>
        </is>
      </c>
      <c r="B45" t="inlineStr">
        <is>
          <t>C_PE</t>
        </is>
      </c>
      <c r="C45" t="inlineStr">
        <is>
          <t>v1</t>
        </is>
      </c>
      <c r="D45" t="inlineStr"/>
      <c r="E45" t="inlineStr">
        <is>
          <t>C</t>
        </is>
      </c>
      <c r="F45" t="inlineStr">
        <is>
          <t>PE</t>
        </is>
      </c>
      <c r="G45" t="inlineStr">
        <is>
          <t>2026-07-17T20:20:33.0000000Z</t>
        </is>
      </c>
      <c r="H45" t="inlineStr">
        <is>
          <t>git_backfill</t>
        </is>
      </c>
      <c r="I45" t="inlineStr">
        <is>
          <t>414b1d8e9101455132a26bf6845c0d98b395192c</t>
        </is>
      </c>
      <c r="J45" t="inlineStr">
        <is>
          <t>src-dotnet/Ape.AiModule.Api/App_Data/ai-rubrics/C_PE.json</t>
        </is>
      </c>
      <c r="K45" t="inlineStr">
        <is>
          <t>update FE/PE question generation prompt quality</t>
        </is>
      </c>
      <c r="L45" t="inlineStr">
        <is>
          <t>Changed fields: few_shot_examples, quality_dimensions, quality_exemplars, quality_red_flags, quality_regeneration_hints</t>
        </is>
      </c>
      <c r="M45" t="inlineStr">
        <is>
          <t>True</t>
        </is>
      </c>
      <c r="N45" t="inlineStr">
        <is>
          <t>56983f35f18c695919e6cc439919f34381740073cad010d433389572cb59dbd0</t>
        </is>
      </c>
      <c r="O45" t="inlineStr">
        <is>
          <t>src-dotnet/Ape.AiModule.Api/App_Data/ai-config-history/rubrics/C_PE/20260717202033000-v1-56983f35f18c.json</t>
        </is>
      </c>
    </row>
    <row r="46">
      <c r="A46" t="inlineStr">
        <is>
          <t>rubrics</t>
        </is>
      </c>
      <c r="B46" t="inlineStr">
        <is>
          <t>DSA_JAVA_FE</t>
        </is>
      </c>
      <c r="C46" t="inlineStr">
        <is>
          <t>v1</t>
        </is>
      </c>
      <c r="D46" t="inlineStr"/>
      <c r="E46" t="inlineStr">
        <is>
          <t>DSA_JAVA</t>
        </is>
      </c>
      <c r="F46" t="inlineStr">
        <is>
          <t>FE</t>
        </is>
      </c>
      <c r="G46" t="inlineStr">
        <is>
          <t>2026-07-16T06:59:08.0000000Z</t>
        </is>
      </c>
      <c r="H46" t="inlineStr">
        <is>
          <t>git_backfill</t>
        </is>
      </c>
      <c r="I46" t="inlineStr">
        <is>
          <t>511aa50726eca82952abff8f8b29642d20a4d019</t>
        </is>
      </c>
      <c r="J46" t="inlineStr">
        <is>
          <t>src-dotnet/Ape.AiModule.Api/App_Data/ai-rubrics/DSA_JAVA_FE.json</t>
        </is>
      </c>
      <c r="K46" t="inlineStr">
        <is>
          <t>Add AI module prototype, operator UI, and docs</t>
        </is>
      </c>
      <c r="L46" t="inlineStr">
        <is>
          <t>Initial snapshot imported from git history.</t>
        </is>
      </c>
      <c r="M46" t="inlineStr">
        <is>
          <t>True</t>
        </is>
      </c>
      <c r="N46" t="inlineStr">
        <is>
          <t>d0a365ae9125a7818553f44a39500a516336390366faed820c245dc4437a3458</t>
        </is>
      </c>
      <c r="O46" t="inlineStr">
        <is>
          <t>src-dotnet/Ape.AiModule.Api/App_Data/ai-config-history/rubrics/DSA_JAVA_FE/20260716065908000-v1-d0a365ae9125.json</t>
        </is>
      </c>
    </row>
    <row r="47">
      <c r="A47" t="inlineStr">
        <is>
          <t>rubrics</t>
        </is>
      </c>
      <c r="B47" t="inlineStr">
        <is>
          <t>DSA_JAVA_PE</t>
        </is>
      </c>
      <c r="C47" t="inlineStr">
        <is>
          <t>v1</t>
        </is>
      </c>
      <c r="D47" t="inlineStr"/>
      <c r="E47" t="inlineStr">
        <is>
          <t>DSA_JAVA</t>
        </is>
      </c>
      <c r="F47" t="inlineStr">
        <is>
          <t>PE</t>
        </is>
      </c>
      <c r="G47" t="inlineStr">
        <is>
          <t>2026-07-16T06:59:08.0000000Z</t>
        </is>
      </c>
      <c r="H47" t="inlineStr">
        <is>
          <t>git_backfill</t>
        </is>
      </c>
      <c r="I47" t="inlineStr">
        <is>
          <t>511aa50726eca82952abff8f8b29642d20a4d019</t>
        </is>
      </c>
      <c r="J47" t="inlineStr">
        <is>
          <t>src-dotnet/Ape.AiModule.Api/App_Data/ai-rubrics/DSA_JAVA_PE.json</t>
        </is>
      </c>
      <c r="K47" t="inlineStr">
        <is>
          <t>Add AI module prototype, operator UI, and docs</t>
        </is>
      </c>
      <c r="L47" t="inlineStr">
        <is>
          <t>Initial snapshot imported from git history.</t>
        </is>
      </c>
      <c r="M47" t="inlineStr">
        <is>
          <t>True</t>
        </is>
      </c>
      <c r="N47" t="inlineStr">
        <is>
          <t>76ee6bd39f93131abb8bbccb1f2229328381b69128255f65917e1125c9c639e4</t>
        </is>
      </c>
      <c r="O47" t="inlineStr">
        <is>
          <t>src-dotnet/Ape.AiModule.Api/App_Data/ai-config-history/rubrics/DSA_JAVA_PE/20260716065908000-v1-76ee6bd39f93.json</t>
        </is>
      </c>
    </row>
    <row r="48">
      <c r="A48" t="inlineStr">
        <is>
          <t>rubrics</t>
        </is>
      </c>
      <c r="B48" t="inlineStr">
        <is>
          <t>DSA_JAVA_PE</t>
        </is>
      </c>
      <c r="C48" t="inlineStr">
        <is>
          <t>v1</t>
        </is>
      </c>
      <c r="D48" t="inlineStr"/>
      <c r="E48" t="inlineStr">
        <is>
          <t>DSA_JAVA</t>
        </is>
      </c>
      <c r="F48" t="inlineStr">
        <is>
          <t>PE</t>
        </is>
      </c>
      <c r="G48" t="inlineStr">
        <is>
          <t>2026-07-17T20:20:33.0000000Z</t>
        </is>
      </c>
      <c r="H48" t="inlineStr">
        <is>
          <t>git_backfill</t>
        </is>
      </c>
      <c r="I48" t="inlineStr">
        <is>
          <t>414b1d8e9101455132a26bf6845c0d98b395192c</t>
        </is>
      </c>
      <c r="J48" t="inlineStr">
        <is>
          <t>src-dotnet/Ape.AiModule.Api/App_Data/ai-rubrics/DSA_JAVA_PE.json</t>
        </is>
      </c>
      <c r="K48" t="inlineStr">
        <is>
          <t>update FE/PE question generation prompt quality</t>
        </is>
      </c>
      <c r="L48" t="inlineStr">
        <is>
          <t>Changed fields: few_shot_examples, quality_dimensions, quality_exemplars, quality_red_flags, quality_regeneration_hints</t>
        </is>
      </c>
      <c r="M48" t="inlineStr">
        <is>
          <t>True</t>
        </is>
      </c>
      <c r="N48" t="inlineStr">
        <is>
          <t>41f3a6e6c99df36829cc89f32b4c03d806900d0cc9c9dccedc7f35ebebd751b5</t>
        </is>
      </c>
      <c r="O48" t="inlineStr">
        <is>
          <t>src-dotnet/Ape.AiModule.Api/App_Data/ai-config-history/rubrics/DSA_JAVA_PE/20260717202033000-v1-41f3a6e6c99d.json</t>
        </is>
      </c>
    </row>
    <row r="49">
      <c r="A49" t="inlineStr">
        <is>
          <t>rubrics</t>
        </is>
      </c>
      <c r="B49" t="inlineStr">
        <is>
          <t>EMBEDDING_TAGGING</t>
        </is>
      </c>
      <c r="C49" t="inlineStr">
        <is>
          <t>v1</t>
        </is>
      </c>
      <c r="D49" t="inlineStr">
        <is>
          <t>EmbeddingTagging</t>
        </is>
      </c>
      <c r="E49" t="inlineStr"/>
      <c r="F49" t="inlineStr"/>
      <c r="G49" t="inlineStr">
        <is>
          <t>2026-07-16T06:59:08.0000000Z</t>
        </is>
      </c>
      <c r="H49" t="inlineStr">
        <is>
          <t>git_backfill</t>
        </is>
      </c>
      <c r="I49" t="inlineStr">
        <is>
          <t>511aa50726eca82952abff8f8b29642d20a4d019</t>
        </is>
      </c>
      <c r="J49" t="inlineStr">
        <is>
          <t>src-dotnet/Ape.AiModule.Api/App_Data/ai-rubrics/EMBEDDING_TAGGING.json</t>
        </is>
      </c>
      <c r="K49" t="inlineStr">
        <is>
          <t>Add AI module prototype, operator UI, and docs</t>
        </is>
      </c>
      <c r="L49" t="inlineStr">
        <is>
          <t>Initial snapshot imported from git history.</t>
        </is>
      </c>
      <c r="M49" t="inlineStr">
        <is>
          <t>True</t>
        </is>
      </c>
      <c r="N49" t="inlineStr">
        <is>
          <t>dc7a2f4accbbcd1b59c46fbe7d5c668bea18e125586e0aa8eda3f00f3f18c6f0</t>
        </is>
      </c>
      <c r="O49" t="inlineStr">
        <is>
          <t>src-dotnet/Ape.AiModule.Api/App_Data/ai-config-history/rubrics/EMBEDDING_TAGGING/20260716065908000-v1-dc7a2f4accbb.json</t>
        </is>
      </c>
    </row>
    <row r="50">
      <c r="A50" t="inlineStr">
        <is>
          <t>rubrics</t>
        </is>
      </c>
      <c r="B50" t="inlineStr">
        <is>
          <t>EXTRACTED_CONTENT</t>
        </is>
      </c>
      <c r="C50" t="inlineStr">
        <is>
          <t>v1</t>
        </is>
      </c>
      <c r="D50" t="inlineStr">
        <is>
          <t>ExtractedContent</t>
        </is>
      </c>
      <c r="E50" t="inlineStr"/>
      <c r="F50" t="inlineStr"/>
      <c r="G50" t="inlineStr">
        <is>
          <t>2026-07-16T06:59:08.0000000Z</t>
        </is>
      </c>
      <c r="H50" t="inlineStr">
        <is>
          <t>git_backfill</t>
        </is>
      </c>
      <c r="I50" t="inlineStr">
        <is>
          <t>511aa50726eca82952abff8f8b29642d20a4d019</t>
        </is>
      </c>
      <c r="J50" t="inlineStr">
        <is>
          <t>src-dotnet/Ape.AiModule.Api/App_Data/ai-rubrics/EXTRACTED_CONTENT.json</t>
        </is>
      </c>
      <c r="K50" t="inlineStr">
        <is>
          <t>Add AI module prototype, operator UI, and docs</t>
        </is>
      </c>
      <c r="L50" t="inlineStr">
        <is>
          <t>Initial snapshot imported from git history.</t>
        </is>
      </c>
      <c r="M50" t="inlineStr">
        <is>
          <t>True</t>
        </is>
      </c>
      <c r="N50" t="inlineStr">
        <is>
          <t>b0715bc3167ca687712d81c7ed90524619be5553fdefcd69608cacb172bd9230</t>
        </is>
      </c>
      <c r="O50" t="inlineStr">
        <is>
          <t>src-dotnet/Ape.AiModule.Api/App_Data/ai-config-history/rubrics/EXTRACTED_CONTENT/20260716065908000-v1-b0715bc3167c.json</t>
        </is>
      </c>
    </row>
    <row r="51">
      <c r="A51" t="inlineStr">
        <is>
          <t>rubrics</t>
        </is>
      </c>
      <c r="B51" t="inlineStr">
        <is>
          <t>GATEKEEPER</t>
        </is>
      </c>
      <c r="C51" t="inlineStr">
        <is>
          <t>v1</t>
        </is>
      </c>
      <c r="D51" t="inlineStr">
        <is>
          <t>Gatekeeper</t>
        </is>
      </c>
      <c r="E51" t="inlineStr"/>
      <c r="F51" t="inlineStr"/>
      <c r="G51" t="inlineStr">
        <is>
          <t>2026-07-16T06:59:08.0000000Z</t>
        </is>
      </c>
      <c r="H51" t="inlineStr">
        <is>
          <t>git_backfill</t>
        </is>
      </c>
      <c r="I51" t="inlineStr">
        <is>
          <t>511aa50726eca82952abff8f8b29642d20a4d019</t>
        </is>
      </c>
      <c r="J51" t="inlineStr">
        <is>
          <t>src-dotnet/Ape.AiModule.Api/App_Data/ai-rubrics/GATEKEEPER.json</t>
        </is>
      </c>
      <c r="K51" t="inlineStr">
        <is>
          <t>Add AI module prototype, operator UI, and docs</t>
        </is>
      </c>
      <c r="L51" t="inlineStr">
        <is>
          <t>Initial snapshot imported from git history.</t>
        </is>
      </c>
      <c r="M51" t="inlineStr">
        <is>
          <t>True</t>
        </is>
      </c>
      <c r="N51" t="inlineStr">
        <is>
          <t>98c02657c7cc7f979d1f01b97c817a2e78732c6d0e081809efc96ce72a26b292</t>
        </is>
      </c>
      <c r="O51" t="inlineStr">
        <is>
          <t>src-dotnet/Ape.AiModule.Api/App_Data/ai-config-history/rubrics/GATEKEEPER/20260716065908000-v1-98c02657c7cc.json</t>
        </is>
      </c>
    </row>
    <row r="52">
      <c r="A52" t="inlineStr">
        <is>
          <t>rubrics</t>
        </is>
      </c>
      <c r="B52" t="inlineStr">
        <is>
          <t>JAVA_OOP_FE</t>
        </is>
      </c>
      <c r="C52" t="inlineStr">
        <is>
          <t>v1</t>
        </is>
      </c>
      <c r="D52" t="inlineStr"/>
      <c r="E52" t="inlineStr">
        <is>
          <t>JAVA_OOP</t>
        </is>
      </c>
      <c r="F52" t="inlineStr">
        <is>
          <t>FE</t>
        </is>
      </c>
      <c r="G52" t="inlineStr">
        <is>
          <t>2026-07-16T06:59:08.0000000Z</t>
        </is>
      </c>
      <c r="H52" t="inlineStr">
        <is>
          <t>git_backfill</t>
        </is>
      </c>
      <c r="I52" t="inlineStr">
        <is>
          <t>511aa50726eca82952abff8f8b29642d20a4d019</t>
        </is>
      </c>
      <c r="J52" t="inlineStr">
        <is>
          <t>src-dotnet/Ape.AiModule.Api/App_Data/ai-rubrics/JAVA_OOP_FE.json</t>
        </is>
      </c>
      <c r="K52" t="inlineStr">
        <is>
          <t>Add AI module prototype, operator UI, and docs</t>
        </is>
      </c>
      <c r="L52" t="inlineStr">
        <is>
          <t>Initial snapshot imported from git history.</t>
        </is>
      </c>
      <c r="M52" t="inlineStr">
        <is>
          <t>True</t>
        </is>
      </c>
      <c r="N52" t="inlineStr">
        <is>
          <t>599216cad4a6f861478f92cf54bde63f29ccf1803a957aea8a0530c8de3ffb34</t>
        </is>
      </c>
      <c r="O52" t="inlineStr">
        <is>
          <t>src-dotnet/Ape.AiModule.Api/App_Data/ai-config-history/rubrics/JAVA_OOP_FE/20260716065908000-v1-599216cad4a6.json</t>
        </is>
      </c>
    </row>
    <row r="53">
      <c r="A53" t="inlineStr">
        <is>
          <t>rubrics</t>
        </is>
      </c>
      <c r="B53" t="inlineStr">
        <is>
          <t>JAVA_OOP_PE</t>
        </is>
      </c>
      <c r="C53" t="inlineStr">
        <is>
          <t>v1</t>
        </is>
      </c>
      <c r="D53" t="inlineStr"/>
      <c r="E53" t="inlineStr">
        <is>
          <t>JAVA_OOP</t>
        </is>
      </c>
      <c r="F53" t="inlineStr">
        <is>
          <t>PE</t>
        </is>
      </c>
      <c r="G53" t="inlineStr">
        <is>
          <t>2026-07-16T06:59:08.0000000Z</t>
        </is>
      </c>
      <c r="H53" t="inlineStr">
        <is>
          <t>git_backfill</t>
        </is>
      </c>
      <c r="I53" t="inlineStr">
        <is>
          <t>511aa50726eca82952abff8f8b29642d20a4d019</t>
        </is>
      </c>
      <c r="J53" t="inlineStr">
        <is>
          <t>src-dotnet/Ape.AiModule.Api/App_Data/ai-rubrics/JAVA_OOP_PE.json</t>
        </is>
      </c>
      <c r="K53" t="inlineStr">
        <is>
          <t>Add AI module prototype, operator UI, and docs</t>
        </is>
      </c>
      <c r="L53" t="inlineStr">
        <is>
          <t>Initial snapshot imported from git history.</t>
        </is>
      </c>
      <c r="M53" t="inlineStr">
        <is>
          <t>True</t>
        </is>
      </c>
      <c r="N53" t="inlineStr">
        <is>
          <t>4d549204d4ea2db98046a668eb26cd2556016477c8ff9e3b4c4ad1abcba8cc71</t>
        </is>
      </c>
      <c r="O53" t="inlineStr">
        <is>
          <t>src-dotnet/Ape.AiModule.Api/App_Data/ai-config-history/rubrics/JAVA_OOP_PE/20260716065908000-v1-4d549204d4ea.json</t>
        </is>
      </c>
    </row>
    <row r="54">
      <c r="A54" t="inlineStr">
        <is>
          <t>rubrics</t>
        </is>
      </c>
      <c r="B54" t="inlineStr">
        <is>
          <t>JAVA_OOP_PE</t>
        </is>
      </c>
      <c r="C54" t="inlineStr">
        <is>
          <t>v1</t>
        </is>
      </c>
      <c r="D54" t="inlineStr"/>
      <c r="E54" t="inlineStr">
        <is>
          <t>JAVA_OOP</t>
        </is>
      </c>
      <c r="F54" t="inlineStr">
        <is>
          <t>PE</t>
        </is>
      </c>
      <c r="G54" t="inlineStr">
        <is>
          <t>2026-07-17T20:20:33.0000000Z</t>
        </is>
      </c>
      <c r="H54" t="inlineStr">
        <is>
          <t>git_backfill</t>
        </is>
      </c>
      <c r="I54" t="inlineStr">
        <is>
          <t>414b1d8e9101455132a26bf6845c0d98b395192c</t>
        </is>
      </c>
      <c r="J54" t="inlineStr">
        <is>
          <t>src-dotnet/Ape.AiModule.Api/App_Data/ai-rubrics/JAVA_OOP_PE.json</t>
        </is>
      </c>
      <c r="K54" t="inlineStr">
        <is>
          <t>update FE/PE question generation prompt quality</t>
        </is>
      </c>
      <c r="L54" t="inlineStr">
        <is>
          <t>Changed fields: few_shot_examples, quality_dimensions, quality_exemplars, quality_red_flags, quality_regeneration_hints</t>
        </is>
      </c>
      <c r="M54" t="inlineStr">
        <is>
          <t>True</t>
        </is>
      </c>
      <c r="N54" t="inlineStr">
        <is>
          <t>c2d838d539d92b2ae9dde78bc896dcbf70afbc4533ff155f808dd3987e6e5a23</t>
        </is>
      </c>
      <c r="O54" t="inlineStr">
        <is>
          <t>src-dotnet/Ape.AiModule.Api/App_Data/ai-config-history/rubrics/JAVA_OOP_PE/20260717202033000-v1-c2d838d539d9.json</t>
        </is>
      </c>
    </row>
  </sheetData>
  <autoFilter ref="A1:O54"/>
  <pageMargins left="0.75" right="0.75" top="1" bottom="1" header="0.5" footer="0.5"/>
</worksheet>
</file>

<file path=xl/worksheets/sheet9.xml><?xml version="1.0" encoding="utf-8"?>
<worksheet xmlns="http://schemas.openxmlformats.org/spreadsheetml/2006/main">
  <sheetPr>
    <tabColor rgb="008E5C2A"/>
    <outlinePr summaryBelow="1" summaryRight="1"/>
    <pageSetUpPr/>
  </sheetPr>
  <dimension ref="A1:V8"/>
  <sheetViews>
    <sheetView workbookViewId="0">
      <pane ySplit="1" topLeftCell="A2" activePane="bottomLeft" state="frozen"/>
      <selection pane="bottomLeft" activeCell="A1" sqref="A1"/>
    </sheetView>
  </sheetViews>
  <sheetFormatPr baseColWidth="8" defaultRowHeight="15"/>
  <cols>
    <col width="28" customWidth="1" min="1" max="1"/>
    <col width="17" customWidth="1" min="2" max="2"/>
    <col width="18" customWidth="1" min="3" max="3"/>
    <col width="28" customWidth="1" min="4" max="4"/>
    <col width="20" customWidth="1" min="5" max="5"/>
    <col width="21" customWidth="1" min="6" max="6"/>
    <col width="18" customWidth="1" min="7" max="7"/>
    <col width="19" customWidth="1" min="8" max="8"/>
    <col width="17" customWidth="1" min="9" max="9"/>
    <col width="15" customWidth="1" min="10" max="10"/>
    <col width="14" customWidth="1" min="11" max="11"/>
    <col width="26" customWidth="1" min="12" max="12"/>
    <col width="25" customWidth="1" min="13" max="13"/>
    <col width="16" customWidth="1" min="14" max="14"/>
    <col width="15" customWidth="1" min="15" max="15"/>
    <col width="13" customWidth="1" min="16" max="16"/>
    <col width="12" customWidth="1" min="17" max="17"/>
    <col width="15" customWidth="1" min="18" max="18"/>
    <col width="23" customWidth="1" min="19" max="19"/>
    <col width="42" customWidth="1" min="20" max="20"/>
    <col width="48" customWidth="1" min="21" max="21"/>
    <col width="48" customWidth="1" min="22" max="22"/>
  </cols>
  <sheetData>
    <row r="1">
      <c r="A1" s="8" t="inlineStr">
        <is>
          <t>prompt_key</t>
        </is>
      </c>
      <c r="B1" s="8" t="inlineStr">
        <is>
          <t>current_version</t>
        </is>
      </c>
      <c r="C1" s="8" t="inlineStr">
        <is>
          <t>previous_version</t>
        </is>
      </c>
      <c r="D1" s="8" t="inlineStr">
        <is>
          <t>description</t>
        </is>
      </c>
      <c r="E1" s="8" t="inlineStr">
        <is>
          <t>current_system_len</t>
        </is>
      </c>
      <c r="F1" s="8" t="inlineStr">
        <is>
          <t>previous_system_len</t>
        </is>
      </c>
      <c r="G1" s="8" t="inlineStr">
        <is>
          <t>current_user_len</t>
        </is>
      </c>
      <c r="H1" s="8" t="inlineStr">
        <is>
          <t>previous_user_len</t>
        </is>
      </c>
      <c r="I1" s="8" t="inlineStr">
        <is>
          <t>change_detected</t>
        </is>
      </c>
      <c r="J1" s="8" t="inlineStr">
        <is>
          <t>change_reason</t>
        </is>
      </c>
      <c r="K1" s="8" t="inlineStr">
        <is>
          <t>dataset_used</t>
        </is>
      </c>
      <c r="L1" s="8" t="inlineStr">
        <is>
          <t>benchmark_run_ids_before</t>
        </is>
      </c>
      <c r="M1" s="8" t="inlineStr">
        <is>
          <t>benchmark_run_ids_after</t>
        </is>
      </c>
      <c r="N1" s="8" t="inlineStr">
        <is>
          <t>quality_before</t>
        </is>
      </c>
      <c r="O1" s="8" t="inlineStr">
        <is>
          <t>quality_after</t>
        </is>
      </c>
      <c r="P1" s="8" t="inlineStr">
        <is>
          <t>cost_before</t>
        </is>
      </c>
      <c r="Q1" s="8" t="inlineStr">
        <is>
          <t>cost_after</t>
        </is>
      </c>
      <c r="R1" s="8" t="inlineStr">
        <is>
          <t>decision_note</t>
        </is>
      </c>
      <c r="S1" s="9" t="inlineStr">
        <is>
          <t>source_commit_current</t>
        </is>
      </c>
      <c r="T1" s="9" t="inlineStr">
        <is>
          <t>source_commit_previous</t>
        </is>
      </c>
      <c r="U1" s="9" t="inlineStr">
        <is>
          <t>current_hash</t>
        </is>
      </c>
      <c r="V1" s="9" t="inlineStr">
        <is>
          <t>previous_hash</t>
        </is>
      </c>
    </row>
    <row r="2">
      <c r="A2" t="inlineStr">
        <is>
          <t>auto_tagging</t>
        </is>
      </c>
      <c r="B2" t="inlineStr">
        <is>
          <t>v2</t>
        </is>
      </c>
      <c r="C2" t="inlineStr">
        <is>
          <t>v2</t>
        </is>
      </c>
      <c r="D2" t="inlineStr">
        <is>
          <t>auto_tagging</t>
        </is>
      </c>
      <c r="E2" t="n">
        <v>192</v>
      </c>
      <c r="F2" t="n">
        <v>192</v>
      </c>
      <c r="G2" t="n">
        <v>411</v>
      </c>
      <c r="H2" t="n">
        <v>411</v>
      </c>
      <c r="I2" t="inlineStr">
        <is>
          <t>yes</t>
        </is>
      </c>
      <c r="J2" t="inlineStr"/>
      <c r="K2" t="inlineStr"/>
      <c r="L2" t="inlineStr"/>
      <c r="M2" t="inlineStr"/>
      <c r="N2" t="inlineStr"/>
      <c r="O2" t="inlineStr"/>
      <c r="P2" t="inlineStr"/>
      <c r="Q2" t="inlineStr"/>
      <c r="R2" t="inlineStr"/>
      <c r="S2" t="inlineStr"/>
      <c r="T2" t="inlineStr">
        <is>
          <t>414b1d8e9101455132a26bf6845c0d98b395192c</t>
        </is>
      </c>
      <c r="U2" t="inlineStr">
        <is>
          <t>2a8875cb2d90f9b9fcd1f78ebb138da978758665aa03c146cdcd8953bd86cdc3</t>
        </is>
      </c>
      <c r="V2" t="inlineStr">
        <is>
          <t>687a3167cbaed18a34ebafcc68b114d6ecb1bbcf47fd7e7f48823402a2130758</t>
        </is>
      </c>
    </row>
    <row r="3">
      <c r="A3" t="inlineStr">
        <is>
          <t>code_mentor</t>
        </is>
      </c>
      <c r="B3" t="inlineStr">
        <is>
          <t>v3</t>
        </is>
      </c>
      <c r="C3" t="inlineStr">
        <is>
          <t>v3</t>
        </is>
      </c>
      <c r="D3" t="inlineStr">
        <is>
          <t>code_mentor</t>
        </is>
      </c>
      <c r="E3" t="n">
        <v>249</v>
      </c>
      <c r="F3" t="n">
        <v>249</v>
      </c>
      <c r="G3" t="n">
        <v>730</v>
      </c>
      <c r="H3" t="n">
        <v>730</v>
      </c>
      <c r="I3" t="inlineStr">
        <is>
          <t>yes</t>
        </is>
      </c>
      <c r="J3" t="inlineStr"/>
      <c r="K3" t="inlineStr"/>
      <c r="L3" t="inlineStr"/>
      <c r="M3" t="inlineStr"/>
      <c r="N3" t="inlineStr"/>
      <c r="O3" t="inlineStr"/>
      <c r="P3" t="inlineStr"/>
      <c r="Q3" t="inlineStr"/>
      <c r="R3" t="inlineStr"/>
      <c r="S3" t="inlineStr"/>
      <c r="T3" t="inlineStr">
        <is>
          <t>414b1d8e9101455132a26bf6845c0d98b395192c</t>
        </is>
      </c>
      <c r="U3" t="inlineStr">
        <is>
          <t>42bd8f5d143aaf5d50ce1bfd4af172eebf1caf0b2bc82559771a223876bbbe5b</t>
        </is>
      </c>
      <c r="V3" t="inlineStr">
        <is>
          <t>6db7f1d986db8bd9ec15e43f0b92345ffac47925022519c26741592653989d71</t>
        </is>
      </c>
    </row>
    <row r="4">
      <c r="A4" t="inlineStr">
        <is>
          <t>extract_content_vision</t>
        </is>
      </c>
      <c r="B4" t="inlineStr">
        <is>
          <t>v2</t>
        </is>
      </c>
      <c r="C4" t="inlineStr">
        <is>
          <t>v2</t>
        </is>
      </c>
      <c r="D4" t="inlineStr">
        <is>
          <t>extract_content_vision</t>
        </is>
      </c>
      <c r="E4" t="n">
        <v>241</v>
      </c>
      <c r="F4" t="n">
        <v>241</v>
      </c>
      <c r="G4" t="n">
        <v>402</v>
      </c>
      <c r="H4" t="n">
        <v>402</v>
      </c>
      <c r="I4" t="inlineStr">
        <is>
          <t>yes</t>
        </is>
      </c>
      <c r="J4" t="inlineStr"/>
      <c r="K4" t="inlineStr"/>
      <c r="L4" t="inlineStr"/>
      <c r="M4" t="inlineStr"/>
      <c r="N4" t="inlineStr"/>
      <c r="O4" t="inlineStr"/>
      <c r="P4" t="inlineStr"/>
      <c r="Q4" t="inlineStr"/>
      <c r="R4" t="inlineStr"/>
      <c r="S4" t="inlineStr"/>
      <c r="T4" t="inlineStr">
        <is>
          <t>414b1d8e9101455132a26bf6845c0d98b395192c</t>
        </is>
      </c>
      <c r="U4" t="inlineStr">
        <is>
          <t>3710f0e54720d10c1ca3b96fa9d4e24ffe236f0ddb18f19d4c31f61f1c627012</t>
        </is>
      </c>
      <c r="V4" t="inlineStr">
        <is>
          <t>1489a766e22effaa72acec2e5605fa2618916d2c21741bf6579b66a699b07d8e</t>
        </is>
      </c>
    </row>
    <row r="5">
      <c r="A5" t="inlineStr">
        <is>
          <t>gatekeeper</t>
        </is>
      </c>
      <c r="B5" t="inlineStr">
        <is>
          <t>v2</t>
        </is>
      </c>
      <c r="C5" t="inlineStr">
        <is>
          <t>v2</t>
        </is>
      </c>
      <c r="D5" t="inlineStr">
        <is>
          <t>gatekeeper</t>
        </is>
      </c>
      <c r="E5" t="n">
        <v>320</v>
      </c>
      <c r="F5" t="n">
        <v>320</v>
      </c>
      <c r="G5" t="n">
        <v>863</v>
      </c>
      <c r="H5" t="n">
        <v>863</v>
      </c>
      <c r="I5" t="inlineStr">
        <is>
          <t>yes</t>
        </is>
      </c>
      <c r="J5" t="inlineStr"/>
      <c r="K5" t="inlineStr"/>
      <c r="L5" t="inlineStr"/>
      <c r="M5" t="inlineStr"/>
      <c r="N5" t="inlineStr"/>
      <c r="O5" t="inlineStr"/>
      <c r="P5" t="inlineStr"/>
      <c r="Q5" t="inlineStr"/>
      <c r="R5" t="inlineStr"/>
      <c r="S5" t="inlineStr"/>
      <c r="T5" t="inlineStr">
        <is>
          <t>414b1d8e9101455132a26bf6845c0d98b395192c</t>
        </is>
      </c>
      <c r="U5" t="inlineStr">
        <is>
          <t>96bd84c6c4a5b2409252e4ff479d9dc44303d44989fc2ef0c9809b3c5aca2e8b</t>
        </is>
      </c>
      <c r="V5" t="inlineStr">
        <is>
          <t>508ded9c086e41d60b74b677e2f2b5f46f79b2478ec2744543eb5149af33e395</t>
        </is>
      </c>
    </row>
    <row r="6">
      <c r="A6" t="inlineStr">
        <is>
          <t>question_generation</t>
        </is>
      </c>
      <c r="B6" t="inlineStr">
        <is>
          <t>v8</t>
        </is>
      </c>
      <c r="C6" t="inlineStr">
        <is>
          <t>v8</t>
        </is>
      </c>
      <c r="D6" t="inlineStr">
        <is>
          <t>question_generation</t>
        </is>
      </c>
      <c r="E6" t="n">
        <v>309</v>
      </c>
      <c r="F6" t="n">
        <v>309</v>
      </c>
      <c r="G6" t="n">
        <v>6019</v>
      </c>
      <c r="H6" t="n">
        <v>6019</v>
      </c>
      <c r="I6" t="inlineStr">
        <is>
          <t>yes</t>
        </is>
      </c>
      <c r="J6" t="inlineStr"/>
      <c r="K6" t="inlineStr"/>
      <c r="L6" t="inlineStr"/>
      <c r="M6" t="inlineStr"/>
      <c r="N6" t="inlineStr"/>
      <c r="O6" t="inlineStr"/>
      <c r="P6" t="inlineStr"/>
      <c r="Q6" t="inlineStr"/>
      <c r="R6" t="inlineStr"/>
      <c r="S6" t="inlineStr"/>
      <c r="T6" t="inlineStr">
        <is>
          <t>414b1d8e9101455132a26bf6845c0d98b395192c</t>
        </is>
      </c>
      <c r="U6" t="inlineStr">
        <is>
          <t>548478b05470c673e8db4e1c815e83f74a0720cd87dcf3fe0efbcd533281ba8e</t>
        </is>
      </c>
      <c r="V6" t="inlineStr">
        <is>
          <t>0f93c23f042cfe7a5ac92e6930160431c07ba3a0859bce38c6830920810d906d</t>
        </is>
      </c>
    </row>
    <row r="7">
      <c r="A7" t="inlineStr">
        <is>
          <t>question_generation_repair</t>
        </is>
      </c>
      <c r="B7" t="inlineStr">
        <is>
          <t>v1</t>
        </is>
      </c>
      <c r="C7" t="inlineStr">
        <is>
          <t>v1</t>
        </is>
      </c>
      <c r="D7" t="inlineStr">
        <is>
          <t>question_generation_repair</t>
        </is>
      </c>
      <c r="E7" t="n">
        <v>227</v>
      </c>
      <c r="F7" t="n">
        <v>227</v>
      </c>
      <c r="G7" t="n">
        <v>855</v>
      </c>
      <c r="H7" t="n">
        <v>855</v>
      </c>
      <c r="I7" t="inlineStr">
        <is>
          <t>yes</t>
        </is>
      </c>
      <c r="J7" t="inlineStr"/>
      <c r="K7" t="inlineStr"/>
      <c r="L7" t="inlineStr"/>
      <c r="M7" t="inlineStr"/>
      <c r="N7" t="inlineStr"/>
      <c r="O7" t="inlineStr"/>
      <c r="P7" t="inlineStr"/>
      <c r="Q7" t="inlineStr"/>
      <c r="R7" t="inlineStr"/>
      <c r="S7" t="inlineStr"/>
      <c r="T7" t="inlineStr">
        <is>
          <t>414b1d8e9101455132a26bf6845c0d98b395192c</t>
        </is>
      </c>
      <c r="U7" t="inlineStr">
        <is>
          <t>7b86f0a28465db84f41039c706b08c919e547a7fcc16a7709f8a045e88509c67</t>
        </is>
      </c>
      <c r="V7" t="inlineStr">
        <is>
          <t>626ecd234306d0e3480e7e7a209e488953bc23a5e2c674443630b399254dc56b</t>
        </is>
      </c>
    </row>
    <row r="8">
      <c r="A8" t="inlineStr">
        <is>
          <t>question_review</t>
        </is>
      </c>
      <c r="B8" t="inlineStr">
        <is>
          <t>v7</t>
        </is>
      </c>
      <c r="C8" t="inlineStr">
        <is>
          <t>v7</t>
        </is>
      </c>
      <c r="D8" t="inlineStr">
        <is>
          <t>question_review</t>
        </is>
      </c>
      <c r="E8" t="n">
        <v>246</v>
      </c>
      <c r="F8" t="n">
        <v>246</v>
      </c>
      <c r="G8" t="n">
        <v>2406</v>
      </c>
      <c r="H8" t="n">
        <v>2406</v>
      </c>
      <c r="I8" t="inlineStr">
        <is>
          <t>yes</t>
        </is>
      </c>
      <c r="J8" t="inlineStr"/>
      <c r="K8" t="inlineStr"/>
      <c r="L8" t="inlineStr"/>
      <c r="M8" t="inlineStr"/>
      <c r="N8" t="inlineStr"/>
      <c r="O8" t="inlineStr"/>
      <c r="P8" t="inlineStr"/>
      <c r="Q8" t="inlineStr"/>
      <c r="R8" t="inlineStr"/>
      <c r="S8" t="inlineStr"/>
      <c r="T8" t="inlineStr">
        <is>
          <t>414b1d8e9101455132a26bf6845c0d98b395192c</t>
        </is>
      </c>
      <c r="U8" t="inlineStr">
        <is>
          <t>e8fafa183aa6a75437330882ad25a7ae69007a5e24f50331565fddf387a5cfbe</t>
        </is>
      </c>
      <c r="V8" t="inlineStr">
        <is>
          <t>2888728ef063487d473f53590b0ad11a54e5fdea007a4ce26712b72ca095288b</t>
        </is>
      </c>
    </row>
  </sheetData>
  <autoFilter ref="A1:V8"/>
  <pageMargins left="0.75" right="0.75" top="1" bottom="1" header="0.5" footer="0.5"/>
</worksheet>
</file>

<file path=xl/worksheets/sheet10.xml><?xml version="1.0" encoding="utf-8"?>
<worksheet xmlns="http://schemas.openxmlformats.org/spreadsheetml/2006/main">
  <sheetPr>
    <tabColor rgb="00355E3B"/>
    <outlinePr summaryBelow="1" summaryRight="1"/>
    <pageSetUpPr/>
  </sheetPr>
  <dimension ref="A1:S26"/>
  <sheetViews>
    <sheetView workbookViewId="0">
      <pane ySplit="1" topLeftCell="A2" activePane="bottomLeft" state="frozen"/>
      <selection pane="bottomLeft" activeCell="A1" sqref="A1"/>
    </sheetView>
  </sheetViews>
  <sheetFormatPr baseColWidth="8" defaultRowHeight="15"/>
  <cols>
    <col width="48" customWidth="1" min="1" max="1"/>
    <col width="19" customWidth="1" min="2" max="2"/>
    <col width="30" customWidth="1" min="3" max="3"/>
    <col width="35" customWidth="1" min="4" max="4"/>
    <col width="16" customWidth="1" min="5" max="5"/>
    <col width="48" customWidth="1" min="6" max="6"/>
    <col width="10" customWidth="1" min="7" max="7"/>
    <col width="15" customWidth="1" min="8" max="8"/>
    <col width="12" customWidth="1" min="9" max="9"/>
    <col width="14" customWidth="1" min="10" max="10"/>
    <col width="15" customWidth="1" min="11" max="11"/>
    <col width="16" customWidth="1" min="12" max="12"/>
    <col width="12" customWidth="1" min="13" max="13"/>
    <col width="18" customWidth="1" min="14" max="14"/>
    <col width="20" customWidth="1" min="15" max="15"/>
    <col width="18" customWidth="1" min="16" max="16"/>
    <col width="48" customWidth="1" min="17" max="17"/>
    <col width="14" customWidth="1" min="18" max="18"/>
    <col width="7" customWidth="1" min="19" max="19"/>
  </cols>
  <sheetData>
    <row r="1">
      <c r="A1" s="8" t="inlineStr">
        <is>
          <t>run_id</t>
        </is>
      </c>
      <c r="B1" s="8" t="inlineStr">
        <is>
          <t>function_name</t>
        </is>
      </c>
      <c r="C1" s="8" t="inlineStr">
        <is>
          <t>route_key</t>
        </is>
      </c>
      <c r="D1" s="8" t="inlineStr">
        <is>
          <t>recorded_at</t>
        </is>
      </c>
      <c r="E1" s="8" t="inlineStr">
        <is>
          <t>status</t>
        </is>
      </c>
      <c r="F1" s="8" t="inlineStr">
        <is>
          <t>model_summary</t>
        </is>
      </c>
      <c r="G1" s="8" t="inlineStr">
        <is>
          <t>subject</t>
        </is>
      </c>
      <c r="H1" s="8" t="inlineStr">
        <is>
          <t>question_type</t>
        </is>
      </c>
      <c r="I1" s="8" t="inlineStr">
        <is>
          <t>difficulty</t>
        </is>
      </c>
      <c r="J1" s="8" t="inlineStr">
        <is>
          <t>input_tokens</t>
        </is>
      </c>
      <c r="K1" s="8" t="inlineStr">
        <is>
          <t>output_tokens</t>
        </is>
      </c>
      <c r="L1" s="8" t="inlineStr">
        <is>
          <t>total_cost_usd</t>
        </is>
      </c>
      <c r="M1" s="8" t="inlineStr">
        <is>
          <t>latency_ms</t>
        </is>
      </c>
      <c r="N1" s="8" t="inlineStr">
        <is>
          <t>prompt_key_guess</t>
        </is>
      </c>
      <c r="O1" s="8" t="inlineStr">
        <is>
          <t>prompt_version_ref</t>
        </is>
      </c>
      <c r="P1" s="8" t="inlineStr">
        <is>
          <t>config_link_mode</t>
        </is>
      </c>
      <c r="Q1" s="8" t="inlineStr">
        <is>
          <t>history_file</t>
        </is>
      </c>
      <c r="R1" s="9" t="inlineStr">
        <is>
          <t>usage_source</t>
        </is>
      </c>
      <c r="S1" s="9" t="inlineStr">
        <is>
          <t>error</t>
        </is>
      </c>
    </row>
    <row r="2">
      <c r="A2" t="inlineStr">
        <is>
          <t>gatekeeper-20260716102227680-7b9525a3e2f34d7f820594a2acf729a</t>
        </is>
      </c>
      <c r="B2" t="inlineStr">
        <is>
          <t>gatekeeper</t>
        </is>
      </c>
      <c r="C2" t="inlineStr">
        <is>
          <t>gatekeeper</t>
        </is>
      </c>
      <c r="D2" t="inlineStr">
        <is>
          <t>2026-07-16T10:22:27.6804412+00:00</t>
        </is>
      </c>
      <c r="E2" t="inlineStr">
        <is>
          <t>unsupported</t>
        </is>
      </c>
      <c r="F2" t="inlineStr">
        <is>
          <t>Model=gpt-5.4-mini</t>
        </is>
      </c>
      <c r="G2" t="inlineStr">
        <is>
          <t>C</t>
        </is>
      </c>
      <c r="H2" t="inlineStr"/>
      <c r="I2" t="inlineStr"/>
      <c r="J2" t="inlineStr">
        <is>
          <t>1886</t>
        </is>
      </c>
      <c r="K2" t="inlineStr">
        <is>
          <t>97</t>
        </is>
      </c>
      <c r="L2" t="inlineStr">
        <is>
          <t>0.000341</t>
        </is>
      </c>
      <c r="M2" t="inlineStr">
        <is>
          <t>3569.4</t>
        </is>
      </c>
      <c r="N2" t="inlineStr"/>
      <c r="O2" t="inlineStr"/>
      <c r="P2" t="inlineStr">
        <is>
          <t>none</t>
        </is>
      </c>
      <c r="Q2" t="inlineStr">
        <is>
          <t>src-dotnet/Ape.AiModule.Api/App_Data/run-history/gatekeeper/gatekeeper-20260716102227680-7b9525a3e2f34d7f820594a2acf729a.json</t>
        </is>
      </c>
      <c r="R2" t="inlineStr">
        <is>
          <t>estimated</t>
        </is>
      </c>
      <c r="S2" t="inlineStr"/>
    </row>
    <row r="3">
      <c r="A3" t="inlineStr">
        <is>
          <t>gatekeeper-20260716102654487-6f9a605cc56640eba6b266358002dc9</t>
        </is>
      </c>
      <c r="B3" t="inlineStr">
        <is>
          <t>gatekeeper</t>
        </is>
      </c>
      <c r="C3" t="inlineStr">
        <is>
          <t>gatekeeper</t>
        </is>
      </c>
      <c r="D3" t="inlineStr">
        <is>
          <t>2026-07-16T10:26:54.4877008+00:00</t>
        </is>
      </c>
      <c r="E3" t="inlineStr">
        <is>
          <t>ambiguous</t>
        </is>
      </c>
      <c r="F3" t="inlineStr">
        <is>
          <t>Model=gpt-5.4-mini</t>
        </is>
      </c>
      <c r="G3" t="inlineStr">
        <is>
          <t>C</t>
        </is>
      </c>
      <c r="H3" t="inlineStr"/>
      <c r="I3" t="inlineStr"/>
      <c r="J3" t="inlineStr">
        <is>
          <t>1886</t>
        </is>
      </c>
      <c r="K3" t="inlineStr">
        <is>
          <t>96</t>
        </is>
      </c>
      <c r="L3" t="inlineStr">
        <is>
          <t>0.000341</t>
        </is>
      </c>
      <c r="M3" t="inlineStr">
        <is>
          <t>3567.6</t>
        </is>
      </c>
      <c r="N3" t="inlineStr"/>
      <c r="O3" t="inlineStr"/>
      <c r="P3" t="inlineStr">
        <is>
          <t>none</t>
        </is>
      </c>
      <c r="Q3" t="inlineStr">
        <is>
          <t>src-dotnet/Ape.AiModule.Api/App_Data/run-history/gatekeeper/gatekeeper-20260716102654487-6f9a605cc56640eba6b266358002dc9.json</t>
        </is>
      </c>
      <c r="R3" t="inlineStr">
        <is>
          <t>estimated</t>
        </is>
      </c>
      <c r="S3" t="inlineStr"/>
    </row>
    <row r="4">
      <c r="A4" t="inlineStr">
        <is>
          <t>extracted-content-20260716102942774-d468fee80a004a6b9084cd55</t>
        </is>
      </c>
      <c r="B4" t="inlineStr">
        <is>
          <t>extracted-content</t>
        </is>
      </c>
      <c r="C4" t="inlineStr">
        <is>
          <t>extracted-content</t>
        </is>
      </c>
      <c r="D4" t="inlineStr">
        <is>
          <t>2026-07-16T10:29:42.7745087+00:00</t>
        </is>
      </c>
      <c r="E4" t="inlineStr"/>
      <c r="F4" t="inlineStr">
        <is>
          <t>VisionModel=gpt-5.4-mini</t>
        </is>
      </c>
      <c r="G4" t="inlineStr">
        <is>
          <t>JAVA_OOP</t>
        </is>
      </c>
      <c r="H4" t="inlineStr"/>
      <c r="I4" t="inlineStr"/>
      <c r="J4" t="inlineStr">
        <is>
          <t>49</t>
        </is>
      </c>
      <c r="K4" t="inlineStr">
        <is>
          <t>1241</t>
        </is>
      </c>
      <c r="L4" t="inlineStr">
        <is>
          <t>0.000752</t>
        </is>
      </c>
      <c r="M4" t="inlineStr">
        <is>
          <t>2322.0</t>
        </is>
      </c>
      <c r="N4" t="inlineStr"/>
      <c r="O4" t="inlineStr"/>
      <c r="P4" t="inlineStr">
        <is>
          <t>none</t>
        </is>
      </c>
      <c r="Q4" t="inlineStr">
        <is>
          <t>src-dotnet/Ape.AiModule.Api/App_Data/run-history/extracted-content/extracted-content-20260716102942774-d468fee80a004a6b9084cd55.json</t>
        </is>
      </c>
      <c r="R4" t="inlineStr">
        <is>
          <t>estimated</t>
        </is>
      </c>
      <c r="S4" t="inlineStr"/>
    </row>
    <row r="5">
      <c r="A5" t="inlineStr">
        <is>
          <t>embedding-tagging-20260716103129118-6438a7d6e51f4f3caacf845d</t>
        </is>
      </c>
      <c r="B5" t="inlineStr">
        <is>
          <t>embedding-tagging</t>
        </is>
      </c>
      <c r="C5" t="inlineStr">
        <is>
          <t>embedding-tagging</t>
        </is>
      </c>
      <c r="D5" t="inlineStr">
        <is>
          <t>2026-07-16T10:31:29.1187204+00:00</t>
        </is>
      </c>
      <c r="E5" t="inlineStr"/>
      <c r="F5" t="inlineStr">
        <is>
          <t>EmbeddingModel=embed-multilingual-v3.0; TaggingModel=gpt-5.4-mini</t>
        </is>
      </c>
      <c r="G5" t="inlineStr">
        <is>
          <t>C</t>
        </is>
      </c>
      <c r="H5" t="inlineStr"/>
      <c r="I5" t="inlineStr"/>
      <c r="J5" t="inlineStr">
        <is>
          <t>2424</t>
        </is>
      </c>
      <c r="K5" t="inlineStr">
        <is>
          <t>11</t>
        </is>
      </c>
      <c r="L5" t="inlineStr">
        <is>
          <t>0.000371</t>
        </is>
      </c>
      <c r="M5" t="inlineStr">
        <is>
          <t>4383.0</t>
        </is>
      </c>
      <c r="N5" t="inlineStr"/>
      <c r="O5" t="inlineStr"/>
      <c r="P5" t="inlineStr">
        <is>
          <t>none</t>
        </is>
      </c>
      <c r="Q5" t="inlineStr">
        <is>
          <t>src-dotnet/Ape.AiModule.Api/App_Data/run-history/embedding-tagging/embedding-tagging-20260716103129118-6438a7d6e51f4f3caacf845d.json</t>
        </is>
      </c>
      <c r="R5" t="inlineStr">
        <is>
          <t>estimated</t>
        </is>
      </c>
      <c r="S5" t="inlineStr"/>
    </row>
    <row r="6">
      <c r="A6" t="inlineStr">
        <is>
          <t>generation-review-20260716103515179-912b041b287b4e0f98bf3437</t>
        </is>
      </c>
      <c r="B6" t="inlineStr">
        <is>
          <t>generation-review</t>
        </is>
      </c>
      <c r="C6" t="inlineStr">
        <is>
          <t>generation-review</t>
        </is>
      </c>
      <c r="D6" t="inlineStr">
        <is>
          <t>2026-07-16T10:35:15.1800283+00:00</t>
        </is>
      </c>
      <c r="E6" t="inlineStr">
        <is>
          <t>needs_revision</t>
        </is>
      </c>
      <c r="F6" t="inlineStr">
        <is>
          <t>GeneratorModel=gpt-5.4-mini; ReviewerModel=gpt-5.4-mini</t>
        </is>
      </c>
      <c r="G6" t="inlineStr">
        <is>
          <t>C</t>
        </is>
      </c>
      <c r="H6" t="inlineStr">
        <is>
          <t>FE</t>
        </is>
      </c>
      <c r="I6" t="inlineStr">
        <is>
          <t>Easy</t>
        </is>
      </c>
      <c r="J6" t="inlineStr">
        <is>
          <t>1</t>
        </is>
      </c>
      <c r="K6" t="inlineStr">
        <is>
          <t>151</t>
        </is>
      </c>
      <c r="L6" t="inlineStr">
        <is>
          <t>9.1e-05</t>
        </is>
      </c>
      <c r="M6" t="inlineStr">
        <is>
          <t>273.6</t>
        </is>
      </c>
      <c r="N6" t="inlineStr"/>
      <c r="O6" t="inlineStr"/>
      <c r="P6" t="inlineStr">
        <is>
          <t>none</t>
        </is>
      </c>
      <c r="Q6" t="inlineStr">
        <is>
          <t>src-dotnet/Ape.AiModule.Api/App_Data/run-history/generation-review/generation-review-20260716103515179-912b041b287b4e0f98bf3437.json</t>
        </is>
      </c>
      <c r="R6" t="inlineStr">
        <is>
          <t>estimated</t>
        </is>
      </c>
      <c r="S6" t="inlineStr"/>
    </row>
    <row r="7">
      <c r="A7" t="inlineStr">
        <is>
          <t>embedding-tagging-20260716104452917-c1f8fd1e08fd412b823d467c</t>
        </is>
      </c>
      <c r="B7" t="inlineStr">
        <is>
          <t>embedding-tagging</t>
        </is>
      </c>
      <c r="C7" t="inlineStr">
        <is>
          <t>embedding-tagging</t>
        </is>
      </c>
      <c r="D7" t="inlineStr">
        <is>
          <t>2026-07-16T10:44:52.9178874+00:00</t>
        </is>
      </c>
      <c r="E7" t="inlineStr"/>
      <c r="F7" t="inlineStr">
        <is>
          <t>EmbeddingModel=embed-multilingual-v3.0; TaggingModel=gpt-5.4-mini</t>
        </is>
      </c>
      <c r="G7" t="inlineStr">
        <is>
          <t>C</t>
        </is>
      </c>
      <c r="H7" t="inlineStr"/>
      <c r="I7" t="inlineStr"/>
      <c r="J7" t="inlineStr">
        <is>
          <t>2424</t>
        </is>
      </c>
      <c r="K7" t="inlineStr">
        <is>
          <t>12</t>
        </is>
      </c>
      <c r="L7" t="inlineStr">
        <is>
          <t>0.000372</t>
        </is>
      </c>
      <c r="M7" t="inlineStr">
        <is>
          <t>4384.8</t>
        </is>
      </c>
      <c r="N7" t="inlineStr"/>
      <c r="O7" t="inlineStr"/>
      <c r="P7" t="inlineStr">
        <is>
          <t>none</t>
        </is>
      </c>
      <c r="Q7" t="inlineStr">
        <is>
          <t>src-dotnet/Ape.AiModule.Api/App_Data/run-history/embedding-tagging/embedding-tagging-20260716104452917-c1f8fd1e08fd412b823d467c.json</t>
        </is>
      </c>
      <c r="R7" t="inlineStr">
        <is>
          <t>estimated</t>
        </is>
      </c>
      <c r="S7" t="inlineStr"/>
    </row>
    <row r="8">
      <c r="A8" t="inlineStr">
        <is>
          <t>gatekeeper-20260716104621933-51387397dca34223ae58474e18fcbd6</t>
        </is>
      </c>
      <c r="B8" t="inlineStr">
        <is>
          <t>gatekeeper</t>
        </is>
      </c>
      <c r="C8" t="inlineStr">
        <is>
          <t>gatekeeper</t>
        </is>
      </c>
      <c r="D8" t="inlineStr">
        <is>
          <t>2026-07-16T10:46:21.9340077+00:00</t>
        </is>
      </c>
      <c r="E8" t="inlineStr">
        <is>
          <t>ambiguous</t>
        </is>
      </c>
      <c r="F8" t="inlineStr">
        <is>
          <t>Model=gpt-5.4-mini</t>
        </is>
      </c>
      <c r="G8" t="inlineStr">
        <is>
          <t>C</t>
        </is>
      </c>
      <c r="H8" t="inlineStr"/>
      <c r="I8" t="inlineStr"/>
      <c r="J8" t="inlineStr">
        <is>
          <t>41854</t>
        </is>
      </c>
      <c r="K8" t="inlineStr">
        <is>
          <t>84</t>
        </is>
      </c>
      <c r="L8" t="inlineStr">
        <is>
          <t>0.006328</t>
        </is>
      </c>
      <c r="M8" t="inlineStr">
        <is>
          <t>75488.4</t>
        </is>
      </c>
      <c r="N8" t="inlineStr"/>
      <c r="O8" t="inlineStr"/>
      <c r="P8" t="inlineStr">
        <is>
          <t>none</t>
        </is>
      </c>
      <c r="Q8" t="inlineStr">
        <is>
          <t>src-dotnet/Ape.AiModule.Api/App_Data/run-history/gatekeeper/gatekeeper-20260716104621933-51387397dca34223ae58474e18fcbd6.json</t>
        </is>
      </c>
      <c r="R8" t="inlineStr">
        <is>
          <t>estimated</t>
        </is>
      </c>
      <c r="S8" t="inlineStr"/>
    </row>
    <row r="9">
      <c r="A9" t="inlineStr">
        <is>
          <t>extracted-content-20260717171818863-e813225a7a024cafa7876d19</t>
        </is>
      </c>
      <c r="B9" t="inlineStr">
        <is>
          <t>extracted-content</t>
        </is>
      </c>
      <c r="C9" t="inlineStr">
        <is>
          <t>extracted-content</t>
        </is>
      </c>
      <c r="D9" t="inlineStr">
        <is>
          <t>2026-07-17T17:18:18.8630729+00:00</t>
        </is>
      </c>
      <c r="E9" t="inlineStr"/>
      <c r="F9" t="inlineStr">
        <is>
          <t>VisionModel=models/gemini-3.5-flash</t>
        </is>
      </c>
      <c r="G9" t="inlineStr">
        <is>
          <t>C</t>
        </is>
      </c>
      <c r="H9" t="inlineStr"/>
      <c r="I9" t="inlineStr"/>
      <c r="J9" t="inlineStr">
        <is>
          <t>4473</t>
        </is>
      </c>
      <c r="K9" t="inlineStr">
        <is>
          <t>6582</t>
        </is>
      </c>
      <c r="L9" t="inlineStr">
        <is>
          <t>0.00462</t>
        </is>
      </c>
      <c r="M9" t="inlineStr">
        <is>
          <t>19899.0</t>
        </is>
      </c>
      <c r="N9" t="inlineStr"/>
      <c r="O9" t="inlineStr"/>
      <c r="P9" t="inlineStr">
        <is>
          <t>none</t>
        </is>
      </c>
      <c r="Q9" t="inlineStr">
        <is>
          <t>src-dotnet/Ape.AiModule.Api/App_Data/run-history/extracted-content/extracted-content-20260717171818863-e813225a7a024cafa7876d19.json</t>
        </is>
      </c>
      <c r="R9" t="inlineStr">
        <is>
          <t>estimated</t>
        </is>
      </c>
      <c r="S9" t="inlineStr"/>
    </row>
    <row r="10">
      <c r="A10" t="inlineStr">
        <is>
          <t>extracted-content-20260717175341546-e3f5d057800341fca465155e</t>
        </is>
      </c>
      <c r="B10" t="inlineStr">
        <is>
          <t>extracted-content</t>
        </is>
      </c>
      <c r="C10" t="inlineStr">
        <is>
          <t>extracted-content</t>
        </is>
      </c>
      <c r="D10" t="inlineStr">
        <is>
          <t>2026-07-17T17:53:41.5465464+00:00</t>
        </is>
      </c>
      <c r="E10" t="inlineStr"/>
      <c r="F10" t="inlineStr">
        <is>
          <t>VisionModel=models/gemini-3.5-flash</t>
        </is>
      </c>
      <c r="G10" t="inlineStr">
        <is>
          <t>C</t>
        </is>
      </c>
      <c r="H10" t="inlineStr"/>
      <c r="I10" t="inlineStr"/>
      <c r="J10" t="inlineStr">
        <is>
          <t>7081</t>
        </is>
      </c>
      <c r="K10" t="inlineStr">
        <is>
          <t>11112</t>
        </is>
      </c>
      <c r="L10" t="inlineStr">
        <is>
          <t>0.007729</t>
        </is>
      </c>
      <c r="M10" t="inlineStr">
        <is>
          <t>32747.4</t>
        </is>
      </c>
      <c r="N10" t="inlineStr"/>
      <c r="O10" t="inlineStr"/>
      <c r="P10" t="inlineStr">
        <is>
          <t>none</t>
        </is>
      </c>
      <c r="Q10" t="inlineStr">
        <is>
          <t>src-dotnet/Ape.AiModule.Api/App_Data/run-history/extracted-content/extracted-content-20260717175341546-e3f5d057800341fca465155e.json</t>
        </is>
      </c>
      <c r="R10" t="inlineStr">
        <is>
          <t>estimated</t>
        </is>
      </c>
      <c r="S10" t="inlineStr"/>
    </row>
    <row r="11">
      <c r="A11" t="inlineStr">
        <is>
          <t>extraction-drafts-20260717175348077-e7a0bd4c63254fe6b2647e7b</t>
        </is>
      </c>
      <c r="B11" t="inlineStr">
        <is>
          <t>extraction-drafts</t>
        </is>
      </c>
      <c r="C11" t="inlineStr">
        <is>
          <t>extraction-draft-approve</t>
        </is>
      </c>
      <c r="D11" t="inlineStr">
        <is>
          <t>2026-07-17T17:53:48.077241+00:00</t>
        </is>
      </c>
      <c r="E11" t="inlineStr"/>
      <c r="F11" t="inlineStr"/>
      <c r="G11" t="inlineStr"/>
      <c r="H11" t="inlineStr"/>
      <c r="I11" t="inlineStr"/>
      <c r="J11" t="inlineStr">
        <is>
          <t>0</t>
        </is>
      </c>
      <c r="K11" t="inlineStr">
        <is>
          <t>0</t>
        </is>
      </c>
      <c r="L11" t="inlineStr">
        <is>
          <t>0</t>
        </is>
      </c>
      <c r="M11" t="inlineStr">
        <is>
          <t>0</t>
        </is>
      </c>
      <c r="N11" t="inlineStr"/>
      <c r="O11" t="inlineStr"/>
      <c r="P11" t="inlineStr">
        <is>
          <t>none</t>
        </is>
      </c>
      <c r="Q11" t="inlineStr">
        <is>
          <t>src-dotnet/Ape.AiModule.Api/App_Data/run-history/extraction-drafts/extraction-drafts-20260717175348077-e7a0bd4c63254fe6b2647e7b.json</t>
        </is>
      </c>
      <c r="R11" t="inlineStr"/>
      <c r="S11" t="inlineStr"/>
    </row>
    <row r="12">
      <c r="A12" t="inlineStr">
        <is>
          <t>extracted-content-20260717175927015-833f8fed16d4404d99d95c9c</t>
        </is>
      </c>
      <c r="B12" t="inlineStr">
        <is>
          <t>extracted-content</t>
        </is>
      </c>
      <c r="C12" t="inlineStr">
        <is>
          <t>extracted-content</t>
        </is>
      </c>
      <c r="D12" t="inlineStr">
        <is>
          <t>2026-07-17T17:59:27.0151136+00:00</t>
        </is>
      </c>
      <c r="E12" t="inlineStr"/>
      <c r="F12" t="inlineStr">
        <is>
          <t>VisionModel=models/gemini-3.5-flash</t>
        </is>
      </c>
      <c r="G12" t="inlineStr">
        <is>
          <t>C</t>
        </is>
      </c>
      <c r="H12" t="inlineStr"/>
      <c r="I12" t="inlineStr"/>
      <c r="J12" t="inlineStr">
        <is>
          <t>7081</t>
        </is>
      </c>
      <c r="K12" t="inlineStr">
        <is>
          <t>11115</t>
        </is>
      </c>
      <c r="L12" t="inlineStr">
        <is>
          <t>0.007731</t>
        </is>
      </c>
      <c r="M12" t="inlineStr">
        <is>
          <t>32752.8</t>
        </is>
      </c>
      <c r="N12" t="inlineStr"/>
      <c r="O12" t="inlineStr"/>
      <c r="P12" t="inlineStr">
        <is>
          <t>none</t>
        </is>
      </c>
      <c r="Q12" t="inlineStr">
        <is>
          <t>src-dotnet/Ape.AiModule.Api/App_Data/run-history/extracted-content/extracted-content-20260717175927015-833f8fed16d4404d99d95c9c.json</t>
        </is>
      </c>
      <c r="R12" t="inlineStr">
        <is>
          <t>estimated</t>
        </is>
      </c>
      <c r="S12" t="inlineStr"/>
    </row>
    <row r="13">
      <c r="A13" t="inlineStr">
        <is>
          <t>extraction-drafts-20260717175932240-16a3df23056a4f05951b924a</t>
        </is>
      </c>
      <c r="B13" t="inlineStr">
        <is>
          <t>extraction-drafts</t>
        </is>
      </c>
      <c r="C13" t="inlineStr">
        <is>
          <t>extraction-draft-approve</t>
        </is>
      </c>
      <c r="D13" t="inlineStr">
        <is>
          <t>2026-07-17T17:59:32.2407168+00:00</t>
        </is>
      </c>
      <c r="E13" t="inlineStr"/>
      <c r="F13" t="inlineStr"/>
      <c r="G13" t="inlineStr"/>
      <c r="H13" t="inlineStr"/>
      <c r="I13" t="inlineStr"/>
      <c r="J13" t="inlineStr">
        <is>
          <t>0</t>
        </is>
      </c>
      <c r="K13" t="inlineStr">
        <is>
          <t>0</t>
        </is>
      </c>
      <c r="L13" t="inlineStr">
        <is>
          <t>0</t>
        </is>
      </c>
      <c r="M13" t="inlineStr">
        <is>
          <t>0</t>
        </is>
      </c>
      <c r="N13" t="inlineStr"/>
      <c r="O13" t="inlineStr"/>
      <c r="P13" t="inlineStr">
        <is>
          <t>none</t>
        </is>
      </c>
      <c r="Q13" t="inlineStr">
        <is>
          <t>src-dotnet/Ape.AiModule.Api/App_Data/run-history/extraction-drafts/extraction-drafts-20260717175932240-16a3df23056a4f05951b924a.json</t>
        </is>
      </c>
      <c r="R13" t="inlineStr"/>
      <c r="S13" t="inlineStr"/>
    </row>
    <row r="14">
      <c r="A14" t="inlineStr">
        <is>
          <t>extracted-content-20260717180836935-4b0c00b84f9141949270f332</t>
        </is>
      </c>
      <c r="B14" t="inlineStr">
        <is>
          <t>extracted-content</t>
        </is>
      </c>
      <c r="C14" t="inlineStr">
        <is>
          <t>extracted-content</t>
        </is>
      </c>
      <c r="D14" t="inlineStr">
        <is>
          <t>2026-07-17T18:08:36.9356175+00:00</t>
        </is>
      </c>
      <c r="E14" t="inlineStr"/>
      <c r="F14" t="inlineStr">
        <is>
          <t>VisionModel=models/gemini-3.5-flash</t>
        </is>
      </c>
      <c r="G14" t="inlineStr">
        <is>
          <t>C</t>
        </is>
      </c>
      <c r="H14" t="inlineStr"/>
      <c r="I14" t="inlineStr"/>
      <c r="J14" t="inlineStr">
        <is>
          <t>7081</t>
        </is>
      </c>
      <c r="K14" t="inlineStr">
        <is>
          <t>11112</t>
        </is>
      </c>
      <c r="L14" t="inlineStr">
        <is>
          <t>0.007729</t>
        </is>
      </c>
      <c r="M14" t="inlineStr">
        <is>
          <t>32747.4</t>
        </is>
      </c>
      <c r="N14" t="inlineStr"/>
      <c r="O14" t="inlineStr"/>
      <c r="P14" t="inlineStr">
        <is>
          <t>none</t>
        </is>
      </c>
      <c r="Q14" t="inlineStr">
        <is>
          <t>src-dotnet/Ape.AiModule.Api/App_Data/run-history/extracted-content/extracted-content-20260717180836935-4b0c00b84f9141949270f332.json</t>
        </is>
      </c>
      <c r="R14" t="inlineStr">
        <is>
          <t>estimated</t>
        </is>
      </c>
      <c r="S14" t="inlineStr"/>
    </row>
    <row r="15">
      <c r="A15" t="inlineStr">
        <is>
          <t>extraction-drafts-20260717180839525-91b8f0b2208d440ca4c74db4</t>
        </is>
      </c>
      <c r="B15" t="inlineStr">
        <is>
          <t>extraction-drafts</t>
        </is>
      </c>
      <c r="C15" t="inlineStr">
        <is>
          <t>extraction-draft-approve</t>
        </is>
      </c>
      <c r="D15" t="inlineStr">
        <is>
          <t>2026-07-17T18:08:39.5257816+00:00</t>
        </is>
      </c>
      <c r="E15" t="inlineStr"/>
      <c r="F15" t="inlineStr"/>
      <c r="G15" t="inlineStr"/>
      <c r="H15" t="inlineStr"/>
      <c r="I15" t="inlineStr"/>
      <c r="J15" t="inlineStr">
        <is>
          <t>0</t>
        </is>
      </c>
      <c r="K15" t="inlineStr">
        <is>
          <t>0</t>
        </is>
      </c>
      <c r="L15" t="inlineStr">
        <is>
          <t>0</t>
        </is>
      </c>
      <c r="M15" t="inlineStr">
        <is>
          <t>0</t>
        </is>
      </c>
      <c r="N15" t="inlineStr"/>
      <c r="O15" t="inlineStr"/>
      <c r="P15" t="inlineStr">
        <is>
          <t>none</t>
        </is>
      </c>
      <c r="Q15" t="inlineStr">
        <is>
          <t>src-dotnet/Ape.AiModule.Api/App_Data/run-history/extraction-drafts/extraction-drafts-20260717180839525-91b8f0b2208d440ca4c74db4.json</t>
        </is>
      </c>
      <c r="R15" t="inlineStr"/>
      <c r="S15" t="inlineStr"/>
    </row>
    <row r="16">
      <c r="A16" t="inlineStr">
        <is>
          <t>embedding-tagging-20260717180958267-904a16cce7ba43ef975ec7cd</t>
        </is>
      </c>
      <c r="B16" t="inlineStr">
        <is>
          <t>embedding-tagging</t>
        </is>
      </c>
      <c r="C16" t="inlineStr">
        <is>
          <t>embedding-tagging-from-draft</t>
        </is>
      </c>
      <c r="D16" t="inlineStr">
        <is>
          <t>2026-07-17T18:09:58.2677013+00:00</t>
        </is>
      </c>
      <c r="E16" t="inlineStr"/>
      <c r="F16" t="inlineStr">
        <is>
          <t>EmbeddingModel=embed-multilingual-v3.0; TaggingModel=gpt-5.4-mini</t>
        </is>
      </c>
      <c r="G16" t="inlineStr"/>
      <c r="H16" t="inlineStr"/>
      <c r="I16" t="inlineStr"/>
      <c r="J16" t="inlineStr">
        <is>
          <t>21164</t>
        </is>
      </c>
      <c r="K16" t="inlineStr">
        <is>
          <t>59</t>
        </is>
      </c>
      <c r="L16" t="inlineStr">
        <is>
          <t>0.003216</t>
        </is>
      </c>
      <c r="M16" t="inlineStr">
        <is>
          <t>38201.4</t>
        </is>
      </c>
      <c r="N16" t="inlineStr"/>
      <c r="O16" t="inlineStr"/>
      <c r="P16" t="inlineStr">
        <is>
          <t>none</t>
        </is>
      </c>
      <c r="Q16" t="inlineStr">
        <is>
          <t>src-dotnet/Ape.AiModule.Api/App_Data/run-history/embedding-tagging/embedding-tagging-20260717180958267-904a16cce7ba43ef975ec7cd.json</t>
        </is>
      </c>
      <c r="R16" t="inlineStr">
        <is>
          <t>estimated</t>
        </is>
      </c>
      <c r="S16" t="inlineStr"/>
    </row>
    <row r="17">
      <c r="A17" t="inlineStr">
        <is>
          <t>generation-review-20260717181132542-6c71db15229f4b8abc613cd2</t>
        </is>
      </c>
      <c r="B17" t="inlineStr">
        <is>
          <t>generation-review</t>
        </is>
      </c>
      <c r="C17" t="inlineStr">
        <is>
          <t>generation-review</t>
        </is>
      </c>
      <c r="D17" t="inlineStr">
        <is>
          <t>2026-07-17T18:11:32.5421338+00:00</t>
        </is>
      </c>
      <c r="E17" t="inlineStr">
        <is>
          <t>needs_revision</t>
        </is>
      </c>
      <c r="F17" t="inlineStr">
        <is>
          <t>GeneratorModel=models/gemini-3.5-flash; ReviewerModel=models/gemini-3.5-flash</t>
        </is>
      </c>
      <c r="G17" t="inlineStr">
        <is>
          <t>C</t>
        </is>
      </c>
      <c r="H17" t="inlineStr">
        <is>
          <t>FE</t>
        </is>
      </c>
      <c r="I17" t="inlineStr">
        <is>
          <t>Medium</t>
        </is>
      </c>
      <c r="J17" t="inlineStr">
        <is>
          <t>21938</t>
        </is>
      </c>
      <c r="K17" t="inlineStr">
        <is>
          <t>1082</t>
        </is>
      </c>
      <c r="L17" t="inlineStr">
        <is>
          <t>0.00394</t>
        </is>
      </c>
      <c r="M17" t="inlineStr">
        <is>
          <t>41436.0</t>
        </is>
      </c>
      <c r="N17" t="inlineStr"/>
      <c r="O17" t="inlineStr"/>
      <c r="P17" t="inlineStr">
        <is>
          <t>none</t>
        </is>
      </c>
      <c r="Q17" t="inlineStr">
        <is>
          <t>src-dotnet/Ape.AiModule.Api/App_Data/run-history/generation-review/generation-review-20260717181132542-6c71db15229f4b8abc613cd2.json</t>
        </is>
      </c>
      <c r="R17" t="inlineStr">
        <is>
          <t>estimated</t>
        </is>
      </c>
      <c r="S17" t="inlineStr"/>
    </row>
    <row r="18">
      <c r="A18" t="inlineStr">
        <is>
          <t>generation-review-20260717184646227-2c460e2100ae4e9596818d94</t>
        </is>
      </c>
      <c r="B18" t="inlineStr">
        <is>
          <t>generation-review</t>
        </is>
      </c>
      <c r="C18" t="inlineStr">
        <is>
          <t>generation-review</t>
        </is>
      </c>
      <c r="D18" t="inlineStr">
        <is>
          <t>2026-07-17T18:46:46.2272373+00:00</t>
        </is>
      </c>
      <c r="E18" t="inlineStr">
        <is>
          <t>needs_revision</t>
        </is>
      </c>
      <c r="F18" t="inlineStr">
        <is>
          <t>GeneratorModel=gpt-5.4-mini; ReviewerModel=gpt-5.4-mini</t>
        </is>
      </c>
      <c r="G18" t="inlineStr">
        <is>
          <t>C</t>
        </is>
      </c>
      <c r="H18" t="inlineStr">
        <is>
          <t>FE</t>
        </is>
      </c>
      <c r="I18" t="inlineStr">
        <is>
          <t>Medium</t>
        </is>
      </c>
      <c r="J18" t="inlineStr">
        <is>
          <t>21937</t>
        </is>
      </c>
      <c r="K18" t="inlineStr">
        <is>
          <t>1144</t>
        </is>
      </c>
      <c r="L18" t="inlineStr">
        <is>
          <t>0.003978</t>
        </is>
      </c>
      <c r="M18" t="inlineStr">
        <is>
          <t>41545.8</t>
        </is>
      </c>
      <c r="N18" t="inlineStr"/>
      <c r="O18" t="inlineStr"/>
      <c r="P18" t="inlineStr">
        <is>
          <t>none</t>
        </is>
      </c>
      <c r="Q18" t="inlineStr">
        <is>
          <t>src-dotnet/Ape.AiModule.Api/App_Data/run-history/generation-review/generation-review-20260717184646227-2c460e2100ae4e9596818d94.json</t>
        </is>
      </c>
      <c r="R18" t="inlineStr">
        <is>
          <t>estimated</t>
        </is>
      </c>
      <c r="S18" t="inlineStr"/>
    </row>
    <row r="19">
      <c r="A19" t="inlineStr">
        <is>
          <t>generation-review-20260717185443614-7a3b9f86583145b4b0ffe1c6</t>
        </is>
      </c>
      <c r="B19" t="inlineStr">
        <is>
          <t>generation-review</t>
        </is>
      </c>
      <c r="C19" t="inlineStr">
        <is>
          <t>generation-review</t>
        </is>
      </c>
      <c r="D19" t="inlineStr">
        <is>
          <t>2026-07-17T18:54:43.614625+00:00</t>
        </is>
      </c>
      <c r="E19" t="inlineStr">
        <is>
          <t>needs_revision</t>
        </is>
      </c>
      <c r="F19" t="inlineStr">
        <is>
          <t>GeneratorModel=gpt-5.4-mini; ReviewerModel=gpt-5.4-mini</t>
        </is>
      </c>
      <c r="G19" t="inlineStr">
        <is>
          <t>C</t>
        </is>
      </c>
      <c r="H19" t="inlineStr">
        <is>
          <t>FE</t>
        </is>
      </c>
      <c r="I19" t="inlineStr">
        <is>
          <t>Medium</t>
        </is>
      </c>
      <c r="J19" t="inlineStr">
        <is>
          <t>23295</t>
        </is>
      </c>
      <c r="K19" t="inlineStr">
        <is>
          <t>3131</t>
        </is>
      </c>
      <c r="L19" t="inlineStr">
        <is>
          <t>0.005374</t>
        </is>
      </c>
      <c r="M19" t="inlineStr">
        <is>
          <t>47566.8</t>
        </is>
      </c>
      <c r="N19" t="inlineStr"/>
      <c r="O19" t="inlineStr"/>
      <c r="P19" t="inlineStr">
        <is>
          <t>none</t>
        </is>
      </c>
      <c r="Q19" t="inlineStr">
        <is>
          <t>src-dotnet/Ape.AiModule.Api/App_Data/run-history/generation-review/generation-review-20260717185443614-7a3b9f86583145b4b0ffe1c6.json</t>
        </is>
      </c>
      <c r="R19" t="inlineStr">
        <is>
          <t>estimated</t>
        </is>
      </c>
      <c r="S19" t="inlineStr"/>
    </row>
    <row r="20">
      <c r="A20" t="inlineStr">
        <is>
          <t>generation-review-20260717191633424-78ede2c1a3264bb6bd2953fd</t>
        </is>
      </c>
      <c r="B20" t="inlineStr">
        <is>
          <t>generation-review</t>
        </is>
      </c>
      <c r="C20" t="inlineStr">
        <is>
          <t>generation-review</t>
        </is>
      </c>
      <c r="D20" t="inlineStr">
        <is>
          <t>2026-07-17T19:16:33.4247825+00:00</t>
        </is>
      </c>
      <c r="E20" t="inlineStr">
        <is>
          <t>needs_revision</t>
        </is>
      </c>
      <c r="F20" t="inlineStr">
        <is>
          <t>GeneratorModel=gpt-5.4-mini; ReviewerModel=gemini-3.5-flash</t>
        </is>
      </c>
      <c r="G20" t="inlineStr">
        <is>
          <t>C</t>
        </is>
      </c>
      <c r="H20" t="inlineStr">
        <is>
          <t>FE</t>
        </is>
      </c>
      <c r="I20" t="inlineStr">
        <is>
          <t>Medium</t>
        </is>
      </c>
      <c r="J20" t="inlineStr">
        <is>
          <t>23355</t>
        </is>
      </c>
      <c r="K20" t="inlineStr">
        <is>
          <t>3099</t>
        </is>
      </c>
      <c r="L20" t="inlineStr">
        <is>
          <t>0.005364</t>
        </is>
      </c>
      <c r="M20" t="inlineStr">
        <is>
          <t>47617.2</t>
        </is>
      </c>
      <c r="N20" t="inlineStr"/>
      <c r="O20" t="inlineStr"/>
      <c r="P20" t="inlineStr">
        <is>
          <t>none</t>
        </is>
      </c>
      <c r="Q20" t="inlineStr">
        <is>
          <t>src-dotnet/Ape.AiModule.Api/App_Data/run-history/generation-review/generation-review-20260717191633424-78ede2c1a3264bb6bd2953fd.json</t>
        </is>
      </c>
      <c r="R20" t="inlineStr">
        <is>
          <t>estimated</t>
        </is>
      </c>
      <c r="S20" t="inlineStr"/>
    </row>
    <row r="21">
      <c r="A21" t="inlineStr">
        <is>
          <t>generation-review-20260717194029401-5e857a81eb1644d4a93d68ba</t>
        </is>
      </c>
      <c r="B21" t="inlineStr">
        <is>
          <t>generation-review</t>
        </is>
      </c>
      <c r="C21" t="inlineStr">
        <is>
          <t>generation-review</t>
        </is>
      </c>
      <c r="D21" t="inlineStr">
        <is>
          <t>2026-07-17T19:40:29.4018324+00:00</t>
        </is>
      </c>
      <c r="E21" t="inlineStr">
        <is>
          <t>needs_revision</t>
        </is>
      </c>
      <c r="F21" t="inlineStr">
        <is>
          <t>GeneratorModel=gpt-5.4-mini; ReviewerModel=gemini-3.5-flash</t>
        </is>
      </c>
      <c r="G21" t="inlineStr">
        <is>
          <t>C</t>
        </is>
      </c>
      <c r="H21" t="inlineStr">
        <is>
          <t>PE</t>
        </is>
      </c>
      <c r="I21" t="inlineStr">
        <is>
          <t>Easy</t>
        </is>
      </c>
      <c r="J21" t="inlineStr">
        <is>
          <t>21855</t>
        </is>
      </c>
      <c r="K21" t="inlineStr">
        <is>
          <t>1045</t>
        </is>
      </c>
      <c r="L21" t="inlineStr">
        <is>
          <t>0.003905</t>
        </is>
      </c>
      <c r="M21" t="inlineStr">
        <is>
          <t>41220.0</t>
        </is>
      </c>
      <c r="N21" t="inlineStr"/>
      <c r="O21" t="inlineStr"/>
      <c r="P21" t="inlineStr">
        <is>
          <t>none</t>
        </is>
      </c>
      <c r="Q21" t="inlineStr">
        <is>
          <t>src-dotnet/Ape.AiModule.Api/App_Data/run-history/generation-review/generation-review-20260717194029401-5e857a81eb1644d4a93d68ba.json</t>
        </is>
      </c>
      <c r="R21" t="inlineStr">
        <is>
          <t>estimated</t>
        </is>
      </c>
      <c r="S21" t="inlineStr"/>
    </row>
    <row r="22">
      <c r="A22" t="inlineStr">
        <is>
          <t>generation-review-20260717194701940-c9e1b9047f6a477d8a243c26</t>
        </is>
      </c>
      <c r="B22" t="inlineStr">
        <is>
          <t>generation-review</t>
        </is>
      </c>
      <c r="C22" t="inlineStr">
        <is>
          <t>generation-review</t>
        </is>
      </c>
      <c r="D22" t="inlineStr">
        <is>
          <t>2026-07-17T19:47:01.9404313+00:00</t>
        </is>
      </c>
      <c r="E22" t="inlineStr">
        <is>
          <t>needs_revision</t>
        </is>
      </c>
      <c r="F22" t="inlineStr">
        <is>
          <t>GeneratorModel=gpt-5.4-mini; ReviewerModel=gemini-3.5-flash</t>
        </is>
      </c>
      <c r="G22" t="inlineStr">
        <is>
          <t>C</t>
        </is>
      </c>
      <c r="H22" t="inlineStr">
        <is>
          <t>PE</t>
        </is>
      </c>
      <c r="I22" t="inlineStr">
        <is>
          <t>Easy</t>
        </is>
      </c>
      <c r="J22" t="inlineStr">
        <is>
          <t>21756</t>
        </is>
      </c>
      <c r="K22" t="inlineStr">
        <is>
          <t>874</t>
        </is>
      </c>
      <c r="L22" t="inlineStr">
        <is>
          <t>0.003789</t>
        </is>
      </c>
      <c r="M22" t="inlineStr">
        <is>
          <t>40734.0</t>
        </is>
      </c>
      <c r="N22" t="inlineStr"/>
      <c r="O22" t="inlineStr"/>
      <c r="P22" t="inlineStr">
        <is>
          <t>none</t>
        </is>
      </c>
      <c r="Q22" t="inlineStr">
        <is>
          <t>src-dotnet/Ape.AiModule.Api/App_Data/run-history/generation-review/generation-review-20260717194701940-c9e1b9047f6a477d8a243c26.json</t>
        </is>
      </c>
      <c r="R22" t="inlineStr">
        <is>
          <t>estimated</t>
        </is>
      </c>
      <c r="S22" t="inlineStr"/>
    </row>
    <row r="23">
      <c r="A23" t="inlineStr">
        <is>
          <t>retrieval-20260718102107579-44b4c4e40f6d4faf8d43f6cd114cd878</t>
        </is>
      </c>
      <c r="B23" t="inlineStr">
        <is>
          <t>retrieval</t>
        </is>
      </c>
      <c r="C23" t="inlineStr">
        <is>
          <t>retrieval-plan</t>
        </is>
      </c>
      <c r="D23" t="inlineStr">
        <is>
          <t>2026-07-18T10:21:07.5790541+00:00</t>
        </is>
      </c>
      <c r="E23" t="inlineStr"/>
      <c r="F23" t="inlineStr"/>
      <c r="G23" t="inlineStr">
        <is>
          <t>C</t>
        </is>
      </c>
      <c r="H23" t="inlineStr">
        <is>
          <t>FE</t>
        </is>
      </c>
      <c r="I23" t="inlineStr">
        <is>
          <t>Medium</t>
        </is>
      </c>
      <c r="J23" t="inlineStr">
        <is>
          <t>0</t>
        </is>
      </c>
      <c r="K23" t="inlineStr">
        <is>
          <t>0</t>
        </is>
      </c>
      <c r="L23" t="inlineStr">
        <is>
          <t>0</t>
        </is>
      </c>
      <c r="M23" t="inlineStr">
        <is>
          <t>0</t>
        </is>
      </c>
      <c r="N23" t="inlineStr"/>
      <c r="O23" t="inlineStr"/>
      <c r="P23" t="inlineStr">
        <is>
          <t>none</t>
        </is>
      </c>
      <c r="Q23" t="inlineStr">
        <is>
          <t>src-dotnet/Ape.AiModule.Api/App_Data/run-history/retrieval/retrieval-20260718102107579-44b4c4e40f6d4faf8d43f6cd114cd878.json</t>
        </is>
      </c>
      <c r="R23" t="inlineStr"/>
      <c r="S23" t="inlineStr"/>
    </row>
    <row r="24">
      <c r="A24" t="inlineStr">
        <is>
          <t>retrieval-20260718102249719-836e9bdd15e24cce9ac127dacd11470f</t>
        </is>
      </c>
      <c r="B24" t="inlineStr">
        <is>
          <t>retrieval</t>
        </is>
      </c>
      <c r="C24" t="inlineStr">
        <is>
          <t>retrieval-plan</t>
        </is>
      </c>
      <c r="D24" t="inlineStr">
        <is>
          <t>2026-07-18T10:22:49.7192542+00:00</t>
        </is>
      </c>
      <c r="E24" t="inlineStr"/>
      <c r="F24" t="inlineStr"/>
      <c r="G24" t="inlineStr">
        <is>
          <t>C</t>
        </is>
      </c>
      <c r="H24" t="inlineStr">
        <is>
          <t>FE</t>
        </is>
      </c>
      <c r="I24" t="inlineStr">
        <is>
          <t>Medium</t>
        </is>
      </c>
      <c r="J24" t="inlineStr">
        <is>
          <t>0</t>
        </is>
      </c>
      <c r="K24" t="inlineStr">
        <is>
          <t>0</t>
        </is>
      </c>
      <c r="L24" t="inlineStr">
        <is>
          <t>0</t>
        </is>
      </c>
      <c r="M24" t="inlineStr">
        <is>
          <t>0</t>
        </is>
      </c>
      <c r="N24" t="inlineStr"/>
      <c r="O24" t="inlineStr"/>
      <c r="P24" t="inlineStr">
        <is>
          <t>none</t>
        </is>
      </c>
      <c r="Q24" t="inlineStr">
        <is>
          <t>src-dotnet/Ape.AiModule.Api/App_Data/run-history/retrieval/retrieval-20260718102249719-836e9bdd15e24cce9ac127dacd11470f.json</t>
        </is>
      </c>
      <c r="R24" t="inlineStr"/>
      <c r="S24" t="inlineStr"/>
    </row>
    <row r="25">
      <c r="A25" t="inlineStr">
        <is>
          <t>retrieval-20260718102401120-bfa00148a1e94dcd90a87bdad7fc120a</t>
        </is>
      </c>
      <c r="B25" t="inlineStr">
        <is>
          <t>retrieval</t>
        </is>
      </c>
      <c r="C25" t="inlineStr">
        <is>
          <t>retrieval-plan</t>
        </is>
      </c>
      <c r="D25" t="inlineStr">
        <is>
          <t>2026-07-18T10:24:01.1206707+00:00</t>
        </is>
      </c>
      <c r="E25" t="inlineStr"/>
      <c r="F25" t="inlineStr"/>
      <c r="G25" t="inlineStr">
        <is>
          <t>C</t>
        </is>
      </c>
      <c r="H25" t="inlineStr">
        <is>
          <t>FE</t>
        </is>
      </c>
      <c r="I25" t="inlineStr">
        <is>
          <t>Medium</t>
        </is>
      </c>
      <c r="J25" t="inlineStr">
        <is>
          <t>0</t>
        </is>
      </c>
      <c r="K25" t="inlineStr">
        <is>
          <t>0</t>
        </is>
      </c>
      <c r="L25" t="inlineStr">
        <is>
          <t>0</t>
        </is>
      </c>
      <c r="M25" t="inlineStr">
        <is>
          <t>0</t>
        </is>
      </c>
      <c r="N25" t="inlineStr"/>
      <c r="O25" t="inlineStr"/>
      <c r="P25" t="inlineStr">
        <is>
          <t>none</t>
        </is>
      </c>
      <c r="Q25" t="inlineStr">
        <is>
          <t>src-dotnet/Ape.AiModule.Api/App_Data/run-history/retrieval/retrieval-20260718102401120-bfa00148a1e94dcd90a87bdad7fc120a.json</t>
        </is>
      </c>
      <c r="R25" t="inlineStr"/>
      <c r="S25" t="inlineStr"/>
    </row>
    <row r="26">
      <c r="A26" t="inlineStr">
        <is>
          <t>retrieval-20260718103303802-4b6f55c9ede54354b6c04acb11a629e0</t>
        </is>
      </c>
      <c r="B26" t="inlineStr">
        <is>
          <t>retrieval</t>
        </is>
      </c>
      <c r="C26" t="inlineStr">
        <is>
          <t>retrieval-plan</t>
        </is>
      </c>
      <c r="D26" t="inlineStr">
        <is>
          <t>2026-07-18T10:33:03.802504+00:00</t>
        </is>
      </c>
      <c r="E26" t="inlineStr"/>
      <c r="F26" t="inlineStr"/>
      <c r="G26" t="inlineStr">
        <is>
          <t>C</t>
        </is>
      </c>
      <c r="H26" t="inlineStr">
        <is>
          <t>FE</t>
        </is>
      </c>
      <c r="I26" t="inlineStr">
        <is>
          <t>Medium</t>
        </is>
      </c>
      <c r="J26" t="inlineStr">
        <is>
          <t>0</t>
        </is>
      </c>
      <c r="K26" t="inlineStr">
        <is>
          <t>0</t>
        </is>
      </c>
      <c r="L26" t="inlineStr">
        <is>
          <t>0</t>
        </is>
      </c>
      <c r="M26" t="inlineStr">
        <is>
          <t>0</t>
        </is>
      </c>
      <c r="N26" t="inlineStr"/>
      <c r="O26" t="inlineStr"/>
      <c r="P26" t="inlineStr">
        <is>
          <t>none</t>
        </is>
      </c>
      <c r="Q26" t="inlineStr">
        <is>
          <t>src-dotnet/Ape.AiModule.Api/App_Data/run-history/retrieval/retrieval-20260718103303802-4b6f55c9ede54354b6c04acb11a629e0.json</t>
        </is>
      </c>
      <c r="R26" t="inlineStr"/>
      <c r="S26" t="inlineStr"/>
    </row>
  </sheetData>
  <autoFilter ref="A1:S26"/>
  <pageMargins left="0.75" right="0.75" top="1" bottom="1" header="0.5" footer="0.5"/>
</worksheet>
</file>

<file path=xl/worksheets/sheet11.xml><?xml version="1.0" encoding="utf-8"?>
<worksheet xmlns="http://schemas.openxmlformats.org/spreadsheetml/2006/main">
  <sheetPr>
    <tabColor rgb="007030A0"/>
    <outlinePr summaryBelow="1" summaryRight="1"/>
    <pageSetUpPr/>
  </sheetPr>
  <dimension ref="A1:G25"/>
  <sheetViews>
    <sheetView showGridLines="1" workbookViewId="0">
      <pane ySplit="1" topLeftCell="A2" activePane="bottomLeft" state="frozen"/>
      <selection pane="bottomLeft" activeCell="A1" sqref="A1"/>
    </sheetView>
  </sheetViews>
  <sheetFormatPr baseColWidth="8" defaultRowHeight="15"/>
  <cols>
    <col width="28" customWidth="1" min="1" max="1"/>
    <col width="28" customWidth="1" min="2" max="2"/>
    <col width="42" customWidth="1" min="3" max="3"/>
    <col width="13" customWidth="1" min="4" max="4"/>
    <col width="12" customWidth="1" min="5" max="5"/>
    <col width="16" customWidth="1" min="6" max="6"/>
    <col width="28" customWidth="1" min="7" max="7"/>
  </cols>
  <sheetData>
    <row r="1" ht="28" customHeight="1">
      <c r="A1" s="2" t="inlineStr">
        <is>
          <t>sheet_name</t>
        </is>
      </c>
      <c r="B1" s="2" t="inlineStr">
        <is>
          <t>metric_name</t>
        </is>
      </c>
      <c r="C1" s="2" t="inlineStr">
        <is>
          <t>metric_definition</t>
        </is>
      </c>
      <c r="D1" s="2" t="inlineStr">
        <is>
          <t>score_range</t>
        </is>
      </c>
      <c r="E1" s="2" t="inlineStr">
        <is>
          <t>weight</t>
        </is>
      </c>
      <c r="F1" s="2" t="inlineStr">
        <is>
          <t>pass_threshold</t>
        </is>
      </c>
      <c r="G1" s="2" t="inlineStr">
        <is>
          <t>notes</t>
        </is>
      </c>
    </row>
    <row r="2">
      <c r="A2" s="3" t="inlineStr">
        <is>
          <t>Input Quality Benchmark</t>
        </is>
      </c>
      <c r="B2" s="3" t="inlineStr">
        <is>
          <t>ocr_text_accuracy_score</t>
        </is>
      </c>
      <c r="C2" s="3" t="inlineStr">
        <is>
          <t>Do chinh xac text sau OCR hoặc parsing</t>
        </is>
      </c>
      <c r="D2" s="3" t="inlineStr">
        <is>
          <t>0-1</t>
        </is>
      </c>
      <c r="E2" s="3" t="inlineStr">
        <is>
          <t>0.20</t>
        </is>
      </c>
      <c r="F2" s="3" t="inlineStr">
        <is>
          <t>0.75</t>
        </is>
      </c>
      <c r="G2" s="3" t="inlineStr"/>
    </row>
    <row r="3">
      <c r="A3" s="3" t="inlineStr">
        <is>
          <t>Input Quality Benchmark</t>
        </is>
      </c>
      <c r="B3" s="3" t="inlineStr">
        <is>
          <t>content_cleanliness_score</t>
        </is>
      </c>
      <c r="C3" s="3" t="inlineStr">
        <is>
          <t>Muc do loai bo ky tu rac khoang trang va noise</t>
        </is>
      </c>
      <c r="D3" s="3" t="inlineStr">
        <is>
          <t>0-1</t>
        </is>
      </c>
      <c r="E3" s="3" t="inlineStr">
        <is>
          <t>0.20</t>
        </is>
      </c>
      <c r="F3" s="3" t="inlineStr">
        <is>
          <t>0.75</t>
        </is>
      </c>
      <c r="G3" s="3" t="inlineStr"/>
    </row>
    <row r="4">
      <c r="A4" s="3" t="inlineStr">
        <is>
          <t>Input Quality Benchmark</t>
        </is>
      </c>
      <c r="B4" s="3" t="inlineStr">
        <is>
          <t>chunk_boundary_score</t>
        </is>
      </c>
      <c r="C4" s="3" t="inlineStr">
        <is>
          <t>Muc do chia dung cum noi dung va khong cat vo nghia</t>
        </is>
      </c>
      <c r="D4" s="3" t="inlineStr">
        <is>
          <t>0-1</t>
        </is>
      </c>
      <c r="E4" s="3" t="inlineStr">
        <is>
          <t>0.20</t>
        </is>
      </c>
      <c r="F4" s="3" t="inlineStr">
        <is>
          <t>0.75</t>
        </is>
      </c>
      <c r="G4" s="3" t="inlineStr"/>
    </row>
    <row r="5">
      <c r="A5" s="3" t="inlineStr">
        <is>
          <t>Input Quality Benchmark</t>
        </is>
      </c>
      <c r="B5" s="3" t="inlineStr">
        <is>
          <t>tag_relevance_score</t>
        </is>
      </c>
      <c r="C5" s="3" t="inlineStr">
        <is>
          <t>Tag co bam sat noi dung chunk hay khong</t>
        </is>
      </c>
      <c r="D5" s="3" t="inlineStr">
        <is>
          <t>0-1</t>
        </is>
      </c>
      <c r="E5" s="3" t="inlineStr">
        <is>
          <t>0.15</t>
        </is>
      </c>
      <c r="F5" s="3" t="inlineStr">
        <is>
          <t>0.75</t>
        </is>
      </c>
      <c r="G5" s="3" t="inlineStr"/>
    </row>
    <row r="6">
      <c r="A6" s="3" t="inlineStr">
        <is>
          <t>Input Quality Benchmark</t>
        </is>
      </c>
      <c r="B6" s="3" t="inlineStr">
        <is>
          <t>tag_coverage_score</t>
        </is>
      </c>
      <c r="C6" s="3" t="inlineStr">
        <is>
          <t>Muc do bao phu topic quan trong cua tai lieu</t>
        </is>
      </c>
      <c r="D6" s="3" t="inlineStr">
        <is>
          <t>0-1</t>
        </is>
      </c>
      <c r="E6" s="3" t="inlineStr">
        <is>
          <t>0.10</t>
        </is>
      </c>
      <c r="F6" s="3" t="inlineStr">
        <is>
          <t>0.70</t>
        </is>
      </c>
      <c r="G6" s="3" t="inlineStr"/>
    </row>
    <row r="7">
      <c r="A7" s="3" t="inlineStr">
        <is>
          <t>Input Quality Benchmark</t>
        </is>
      </c>
      <c r="B7" s="3" t="inlineStr">
        <is>
          <t>image_description_quality_score</t>
        </is>
      </c>
      <c r="C7" s="3" t="inlineStr">
        <is>
          <t>Chat luong mo ta anh neu co vision</t>
        </is>
      </c>
      <c r="D7" s="3" t="inlineStr">
        <is>
          <t>0-1</t>
        </is>
      </c>
      <c r="E7" s="3" t="inlineStr">
        <is>
          <t>0.05</t>
        </is>
      </c>
      <c r="F7" s="3" t="inlineStr">
        <is>
          <t>0.60</t>
        </is>
      </c>
      <c r="G7" s="3" t="inlineStr"/>
    </row>
    <row r="8">
      <c r="A8" s="3" t="inlineStr">
        <is>
          <t>Input Quality Benchmark</t>
        </is>
      </c>
      <c r="B8" s="3" t="inlineStr">
        <is>
          <t>grounding_traceability_score</t>
        </is>
      </c>
      <c r="C8" s="3" t="inlineStr">
        <is>
          <t>Co truy vet duoc nguon chunk/page/segment hay khong</t>
        </is>
      </c>
      <c r="D8" s="3" t="inlineStr">
        <is>
          <t>0-1</t>
        </is>
      </c>
      <c r="E8" s="3" t="inlineStr">
        <is>
          <t>0.10</t>
        </is>
      </c>
      <c r="F8" s="3" t="inlineStr">
        <is>
          <t>0.80</t>
        </is>
      </c>
      <c r="G8" s="3" t="inlineStr"/>
    </row>
    <row r="9">
      <c r="A9" s="3" t="inlineStr">
        <is>
          <t>Question Generation Benchmark</t>
        </is>
      </c>
      <c r="B9" s="3" t="inlineStr">
        <is>
          <t>schema_valid_rate</t>
        </is>
      </c>
      <c r="C9" s="3" t="inlineStr">
        <is>
          <t>Ty le cau hoi dung schema dich</t>
        </is>
      </c>
      <c r="D9" s="3" t="inlineStr">
        <is>
          <t>0-1</t>
        </is>
      </c>
      <c r="E9" s="3" t="inlineStr">
        <is>
          <t>0.15</t>
        </is>
      </c>
      <c r="F9" s="3" t="inlineStr">
        <is>
          <t>1.00</t>
        </is>
      </c>
      <c r="G9" s="3" t="inlineStr"/>
    </row>
    <row r="10">
      <c r="A10" s="3" t="inlineStr">
        <is>
          <t>Question Generation Benchmark</t>
        </is>
      </c>
      <c r="B10" s="3" t="inlineStr">
        <is>
          <t>grounded_rate</t>
        </is>
      </c>
      <c r="C10" s="3" t="inlineStr">
        <is>
          <t>Ty le cau hoi bam sat context nguon</t>
        </is>
      </c>
      <c r="D10" s="3" t="inlineStr">
        <is>
          <t>0-1</t>
        </is>
      </c>
      <c r="E10" s="3" t="inlineStr">
        <is>
          <t>0.25</t>
        </is>
      </c>
      <c r="F10" s="3" t="inlineStr">
        <is>
          <t>0.80</t>
        </is>
      </c>
      <c r="G10" s="3" t="inlineStr"/>
    </row>
    <row r="11">
      <c r="A11" s="3" t="inlineStr">
        <is>
          <t>Question Generation Benchmark</t>
        </is>
      </c>
      <c r="B11" s="3" t="inlineStr">
        <is>
          <t>difficulty_alignment_score</t>
        </is>
      </c>
      <c r="C11" s="3" t="inlineStr">
        <is>
          <t>Do khop muc do de kho voi target</t>
        </is>
      </c>
      <c r="D11" s="3" t="inlineStr">
        <is>
          <t>0-1</t>
        </is>
      </c>
      <c r="E11" s="3" t="inlineStr">
        <is>
          <t>0.15</t>
        </is>
      </c>
      <c r="F11" s="3" t="inlineStr">
        <is>
          <t>0.75</t>
        </is>
      </c>
      <c r="G11" s="3" t="inlineStr"/>
    </row>
    <row r="12">
      <c r="A12" s="3" t="inlineStr">
        <is>
          <t>Question Generation Benchmark</t>
        </is>
      </c>
      <c r="B12" s="3" t="inlineStr">
        <is>
          <t>topic_relevance_score</t>
        </is>
      </c>
      <c r="C12" s="3" t="inlineStr">
        <is>
          <t>Do bam sat topic duoc yeu cau</t>
        </is>
      </c>
      <c r="D12" s="3" t="inlineStr">
        <is>
          <t>0-1</t>
        </is>
      </c>
      <c r="E12" s="3" t="inlineStr">
        <is>
          <t>0.15</t>
        </is>
      </c>
      <c r="F12" s="3" t="inlineStr">
        <is>
          <t>0.80</t>
        </is>
      </c>
      <c r="G12" s="3" t="inlineStr"/>
    </row>
    <row r="13">
      <c r="A13" s="3" t="inlineStr">
        <is>
          <t>Question Generation Benchmark</t>
        </is>
      </c>
      <c r="B13" s="3" t="inlineStr">
        <is>
          <t>question_clarity_score</t>
        </is>
      </c>
      <c r="C13" s="3" t="inlineStr">
        <is>
          <t>Muc do ro rang tu than cua cau hoi</t>
        </is>
      </c>
      <c r="D13" s="3" t="inlineStr">
        <is>
          <t>0-1</t>
        </is>
      </c>
      <c r="E13" s="3" t="inlineStr">
        <is>
          <t>0.10</t>
        </is>
      </c>
      <c r="F13" s="3" t="inlineStr">
        <is>
          <t>0.75</t>
        </is>
      </c>
      <c r="G13" s="3" t="inlineStr"/>
    </row>
    <row r="14">
      <c r="A14" s="3" t="inlineStr">
        <is>
          <t>Question Generation Benchmark</t>
        </is>
      </c>
      <c r="B14" s="3" t="inlineStr">
        <is>
          <t>question_usefulness_score</t>
        </is>
      </c>
      <c r="C14" s="3" t="inlineStr">
        <is>
          <t>Muc do co gia tri hoc thuat va su pham</t>
        </is>
      </c>
      <c r="D14" s="3" t="inlineStr">
        <is>
          <t>0-1</t>
        </is>
      </c>
      <c r="E14" s="3" t="inlineStr">
        <is>
          <t>0.10</t>
        </is>
      </c>
      <c r="F14" s="3" t="inlineStr">
        <is>
          <t>0.75</t>
        </is>
      </c>
      <c r="G14" s="3" t="inlineStr"/>
    </row>
    <row r="15">
      <c r="A15" s="3" t="inlineStr">
        <is>
          <t>Question Generation Benchmark</t>
        </is>
      </c>
      <c r="B15" s="3" t="inlineStr">
        <is>
          <t>distractor_quality_score</t>
        </is>
      </c>
      <c r="C15" s="3" t="inlineStr">
        <is>
          <t>Chi ap dung FE - chat luong phuong an nhieu lua chon</t>
        </is>
      </c>
      <c r="D15" s="3" t="inlineStr">
        <is>
          <t>0-1</t>
        </is>
      </c>
      <c r="E15" s="3" t="inlineStr">
        <is>
          <t>0.07</t>
        </is>
      </c>
      <c r="F15" s="3" t="inlineStr">
        <is>
          <t>0.70</t>
        </is>
      </c>
      <c r="G15" s="3" t="inlineStr">
        <is>
          <t>FE only</t>
        </is>
      </c>
    </row>
    <row r="16">
      <c r="A16" s="3" t="inlineStr">
        <is>
          <t>Question Generation Benchmark</t>
        </is>
      </c>
      <c r="B16" s="3" t="inlineStr">
        <is>
          <t>testcase_quality_score</t>
        </is>
      </c>
      <c r="C16" s="3" t="inlineStr">
        <is>
          <t>Chi ap dung PE - chat luong test case danh gia</t>
        </is>
      </c>
      <c r="D16" s="3" t="inlineStr">
        <is>
          <t>0-1</t>
        </is>
      </c>
      <c r="E16" s="3" t="inlineStr">
        <is>
          <t>0.09</t>
        </is>
      </c>
      <c r="F16" s="3" t="inlineStr">
        <is>
          <t>0.70</t>
        </is>
      </c>
      <c r="G16" s="3" t="inlineStr">
        <is>
          <t>PE only</t>
        </is>
      </c>
    </row>
    <row r="17">
      <c r="A17" s="3" t="inlineStr">
        <is>
          <t>Question Generation Benchmark</t>
        </is>
      </c>
      <c r="B17" s="3" t="inlineStr">
        <is>
          <t>rule_based_pass_rate</t>
        </is>
      </c>
      <c r="C17" s="3" t="inlineStr">
        <is>
          <t>Ty le vuot cac luat rule-based reviewer</t>
        </is>
      </c>
      <c r="D17" s="3" t="inlineStr">
        <is>
          <t>0-1</t>
        </is>
      </c>
      <c r="E17" s="3" t="inlineStr">
        <is>
          <t>0.10</t>
        </is>
      </c>
      <c r="F17" s="3" t="inlineStr">
        <is>
          <t>0.80</t>
        </is>
      </c>
      <c r="G17" s="3" t="inlineStr"/>
    </row>
    <row r="18">
      <c r="A18" s="3" t="inlineStr">
        <is>
          <t>Code Mentor Benchmark</t>
        </is>
      </c>
      <c r="B18" s="3" t="inlineStr">
        <is>
          <t>bug_detection_score</t>
        </is>
      </c>
      <c r="C18" s="3" t="inlineStr">
        <is>
          <t>Do dung khi phat hien loi sai</t>
        </is>
      </c>
      <c r="D18" s="3" t="inlineStr">
        <is>
          <t>0-1</t>
        </is>
      </c>
      <c r="E18" s="3" t="inlineStr">
        <is>
          <t>0.20</t>
        </is>
      </c>
      <c r="F18" s="3" t="inlineStr">
        <is>
          <t>0.75</t>
        </is>
      </c>
      <c r="G18" s="3" t="inlineStr"/>
    </row>
    <row r="19">
      <c r="A19" s="3" t="inlineStr">
        <is>
          <t>Code Mentor Benchmark</t>
        </is>
      </c>
      <c r="B19" s="3" t="inlineStr">
        <is>
          <t>correctness_feedback_score</t>
        </is>
      </c>
      <c r="C19" s="3" t="inlineStr">
        <is>
          <t>Do dung cua nhan xet ve tinh dung sai cua code</t>
        </is>
      </c>
      <c r="D19" s="3" t="inlineStr">
        <is>
          <t>0-1</t>
        </is>
      </c>
      <c r="E19" s="3" t="inlineStr">
        <is>
          <t>0.20</t>
        </is>
      </c>
      <c r="F19" s="3" t="inlineStr">
        <is>
          <t>0.75</t>
        </is>
      </c>
      <c r="G19" s="3" t="inlineStr"/>
    </row>
    <row r="20">
      <c r="A20" s="3" t="inlineStr">
        <is>
          <t>Code Mentor Benchmark</t>
        </is>
      </c>
      <c r="B20" s="3" t="inlineStr">
        <is>
          <t>code_quality_feedback_score</t>
        </is>
      </c>
      <c r="C20" s="3" t="inlineStr">
        <is>
          <t>Chat luong nhan xet ve style cau truc va code smell</t>
        </is>
      </c>
      <c r="D20" s="3" t="inlineStr">
        <is>
          <t>0-1</t>
        </is>
      </c>
      <c r="E20" s="3" t="inlineStr">
        <is>
          <t>0.15</t>
        </is>
      </c>
      <c r="F20" s="3" t="inlineStr">
        <is>
          <t>0.70</t>
        </is>
      </c>
      <c r="G20" s="3" t="inlineStr"/>
    </row>
    <row r="21">
      <c r="A21" s="3" t="inlineStr">
        <is>
          <t>Code Mentor Benchmark</t>
        </is>
      </c>
      <c r="B21" s="3" t="inlineStr">
        <is>
          <t>actionability_score</t>
        </is>
      </c>
      <c r="C21" s="3" t="inlineStr">
        <is>
          <t>Muc do de xuat sua loi co the lam theo ngay</t>
        </is>
      </c>
      <c r="D21" s="3" t="inlineStr">
        <is>
          <t>0-1</t>
        </is>
      </c>
      <c r="E21" s="3" t="inlineStr">
        <is>
          <t>0.15</t>
        </is>
      </c>
      <c r="F21" s="3" t="inlineStr">
        <is>
          <t>0.75</t>
        </is>
      </c>
      <c r="G21" s="3" t="inlineStr"/>
    </row>
    <row r="22">
      <c r="A22" s="3" t="inlineStr">
        <is>
          <t>Code Mentor Benchmark</t>
        </is>
      </c>
      <c r="B22" s="3" t="inlineStr">
        <is>
          <t>specificity_score</t>
        </is>
      </c>
      <c r="C22" s="3" t="inlineStr">
        <is>
          <t>Muc do cu the thay vi nhan xet mo ho</t>
        </is>
      </c>
      <c r="D22" s="3" t="inlineStr">
        <is>
          <t>0-1</t>
        </is>
      </c>
      <c r="E22" s="3" t="inlineStr">
        <is>
          <t>0.10</t>
        </is>
      </c>
      <c r="F22" s="3" t="inlineStr">
        <is>
          <t>0.70</t>
        </is>
      </c>
      <c r="G22" s="3" t="inlineStr"/>
    </row>
    <row r="23">
      <c r="A23" s="3" t="inlineStr">
        <is>
          <t>Code Mentor Benchmark</t>
        </is>
      </c>
      <c r="B23" s="3" t="inlineStr">
        <is>
          <t>hallucination_penalty</t>
        </is>
      </c>
      <c r="C23" s="3" t="inlineStr">
        <is>
          <t>Muc phat khi nhan xet sai khong bam vao code</t>
        </is>
      </c>
      <c r="D23" s="3" t="inlineStr">
        <is>
          <t>0-1</t>
        </is>
      </c>
      <c r="E23" s="3" t="inlineStr">
        <is>
          <t>-1.00</t>
        </is>
      </c>
      <c r="F23" s="3" t="inlineStr">
        <is>
          <t>0.00</t>
        </is>
      </c>
      <c r="G23" s="3" t="inlineStr">
        <is>
          <t>Subtract from final score</t>
        </is>
      </c>
    </row>
    <row r="24">
      <c r="A24" s="3" t="inlineStr">
        <is>
          <t>Code Mentor Benchmark</t>
        </is>
      </c>
      <c r="B24" s="3" t="inlineStr">
        <is>
          <t>grounded_to_code_score</t>
        </is>
      </c>
      <c r="C24" s="3" t="inlineStr">
        <is>
          <t>Muc do nhan xet bam vao source code va context de bai</t>
        </is>
      </c>
      <c r="D24" s="3" t="inlineStr">
        <is>
          <t>0-1</t>
        </is>
      </c>
      <c r="E24" s="3" t="inlineStr">
        <is>
          <t>0.10</t>
        </is>
      </c>
      <c r="F24" s="3" t="inlineStr">
        <is>
          <t>0.80</t>
        </is>
      </c>
      <c r="G24" s="3" t="inlineStr"/>
    </row>
    <row r="25">
      <c r="A25" s="3" t="inlineStr">
        <is>
          <t>Code Mentor Benchmark</t>
        </is>
      </c>
      <c r="B25" s="3" t="inlineStr">
        <is>
          <t>pedagogical_value_score</t>
        </is>
      </c>
      <c r="C25" s="3" t="inlineStr">
        <is>
          <t>Gia tri huong dan hoc tap cho sinh vien</t>
        </is>
      </c>
      <c r="D25" s="3" t="inlineStr">
        <is>
          <t>0-1</t>
        </is>
      </c>
      <c r="E25" s="3" t="inlineStr">
        <is>
          <t>0.10</t>
        </is>
      </c>
      <c r="F25" s="3" t="inlineStr">
        <is>
          <t>0.75</t>
        </is>
      </c>
      <c r="G25" s="3" t="inlineStr"/>
    </row>
  </sheetData>
  <autoFilter ref="A1:G25"/>
  <pageMargins left="0.75" right="0.75" top="1" bottom="1" header="0.5" footer="0.5"/>
</worksheet>
</file>

<file path=xl/worksheets/sheet12.xml><?xml version="1.0" encoding="utf-8"?>
<worksheet xmlns="http://schemas.openxmlformats.org/spreadsheetml/2006/main">
  <sheetPr>
    <tabColor rgb="00D9D9D9"/>
    <outlinePr summaryBelow="1" summaryRight="1"/>
    <pageSetUpPr/>
  </sheetPr>
  <dimension ref="A1:O9"/>
  <sheetViews>
    <sheetView workbookViewId="0">
      <selection activeCell="A1" sqref="A1"/>
    </sheetView>
  </sheetViews>
  <sheetFormatPr baseColWidth="8" defaultRowHeight="15"/>
  <sheetData>
    <row r="1">
      <c r="A1" t="inlineStr">
        <is>
          <t>subject_codes</t>
        </is>
      </c>
      <c r="B1" t="inlineStr">
        <is>
          <t>syllabus_scopes</t>
        </is>
      </c>
      <c r="C1" t="inlineStr">
        <is>
          <t>document_types</t>
        </is>
      </c>
      <c r="D1" t="inlineStr">
        <is>
          <t>pipeline_modes</t>
        </is>
      </c>
      <c r="E1" t="inlineStr">
        <is>
          <t>boolean_text</t>
        </is>
      </c>
      <c r="F1" t="inlineStr">
        <is>
          <t>pass_fail</t>
        </is>
      </c>
      <c r="G1" t="inlineStr">
        <is>
          <t>question_types</t>
        </is>
      </c>
      <c r="H1" t="inlineStr">
        <is>
          <t>difficulties</t>
        </is>
      </c>
      <c r="I1" t="inlineStr">
        <is>
          <t>generation_modes</t>
        </is>
      </c>
      <c r="J1" t="inlineStr">
        <is>
          <t>dual_agent_modes</t>
        </is>
      </c>
      <c r="K1" t="inlineStr">
        <is>
          <t>context_sources</t>
        </is>
      </c>
      <c r="L1" t="inlineStr">
        <is>
          <t>languages</t>
        </is>
      </c>
      <c r="M1" t="inlineStr">
        <is>
          <t>config_types</t>
        </is>
      </c>
      <c r="N1" t="inlineStr">
        <is>
          <t>config_statuses</t>
        </is>
      </c>
      <c r="O1" t="inlineStr">
        <is>
          <t>decisions</t>
        </is>
      </c>
    </row>
    <row r="2">
      <c r="A2" t="inlineStr">
        <is>
          <t>C</t>
        </is>
      </c>
      <c r="B2" t="inlineStr">
        <is>
          <t>SYSTEM_CORE</t>
        </is>
      </c>
      <c r="C2" t="inlineStr">
        <is>
          <t>pdf</t>
        </is>
      </c>
      <c r="D2" t="inlineStr">
        <is>
          <t>TextOnly</t>
        </is>
      </c>
      <c r="E2" t="inlineStr">
        <is>
          <t>true</t>
        </is>
      </c>
      <c r="F2" t="inlineStr">
        <is>
          <t>Pass</t>
        </is>
      </c>
      <c r="G2" t="inlineStr">
        <is>
          <t>FE</t>
        </is>
      </c>
      <c r="H2" t="inlineStr">
        <is>
          <t>Easy</t>
        </is>
      </c>
      <c r="I2" t="inlineStr">
        <is>
          <t>single_question_precise</t>
        </is>
      </c>
      <c r="J2" t="inlineStr">
        <is>
          <t>SingleAgent</t>
        </is>
      </c>
      <c r="K2" t="inlineStr">
        <is>
          <t>chunks</t>
        </is>
      </c>
      <c r="L2" t="inlineStr">
        <is>
          <t>c</t>
        </is>
      </c>
      <c r="M2" t="inlineStr">
        <is>
          <t>prompt</t>
        </is>
      </c>
      <c r="N2" t="inlineStr">
        <is>
          <t>draft</t>
        </is>
      </c>
      <c r="O2" t="inlineStr">
        <is>
          <t>adopt</t>
        </is>
      </c>
    </row>
    <row r="3">
      <c r="A3" t="inlineStr">
        <is>
          <t>JAVA_OOP</t>
        </is>
      </c>
      <c r="B3" t="inlineStr">
        <is>
          <t>BYOS</t>
        </is>
      </c>
      <c r="C3" t="inlineStr">
        <is>
          <t>docx</t>
        </is>
      </c>
      <c r="D3" t="inlineStr">
        <is>
          <t>FullMultimodalPage</t>
        </is>
      </c>
      <c r="E3" t="inlineStr">
        <is>
          <t>false</t>
        </is>
      </c>
      <c r="F3" t="inlineStr">
        <is>
          <t>Fail</t>
        </is>
      </c>
      <c r="G3" t="inlineStr">
        <is>
          <t>PE</t>
        </is>
      </c>
      <c r="H3" t="inlineStr">
        <is>
          <t>Medium</t>
        </is>
      </c>
      <c r="I3" t="inlineStr">
        <is>
          <t>small_batch</t>
        </is>
      </c>
      <c r="J3" t="inlineStr">
        <is>
          <t>SameModelDualRole</t>
        </is>
      </c>
      <c r="K3" t="inlineStr">
        <is>
          <t>context-pack</t>
        </is>
      </c>
      <c r="L3" t="inlineStr">
        <is>
          <t>java</t>
        </is>
      </c>
      <c r="M3" t="inlineStr">
        <is>
          <t>rubric</t>
        </is>
      </c>
      <c r="N3" t="inlineStr">
        <is>
          <t>active</t>
        </is>
      </c>
      <c r="O3" t="inlineStr">
        <is>
          <t>reject</t>
        </is>
      </c>
    </row>
    <row r="4">
      <c r="A4" t="inlineStr">
        <is>
          <t>DSA_JAVA</t>
        </is>
      </c>
      <c r="B4" t="inlineStr">
        <is>
          <t>HYBRID</t>
        </is>
      </c>
      <c r="C4" t="inlineStr">
        <is>
          <t>pptx</t>
        </is>
      </c>
      <c r="F4" t="inlineStr">
        <is>
          <t>Review</t>
        </is>
      </c>
      <c r="G4" t="inlineStr">
        <is>
          <t>N/A</t>
        </is>
      </c>
      <c r="H4" t="inlineStr">
        <is>
          <t>Hard</t>
        </is>
      </c>
      <c r="I4" t="inlineStr">
        <is>
          <t>coverage_exam</t>
        </is>
      </c>
      <c r="J4" t="inlineStr">
        <is>
          <t>DualAgent</t>
        </is>
      </c>
      <c r="K4" t="inlineStr">
        <is>
          <t>retrieval</t>
        </is>
      </c>
      <c r="L4" t="inlineStr">
        <is>
          <t>cpp</t>
        </is>
      </c>
      <c r="M4" t="inlineStr">
        <is>
          <t>policy</t>
        </is>
      </c>
      <c r="N4" t="inlineStr">
        <is>
          <t>retired</t>
        </is>
      </c>
      <c r="O4" t="inlineStr">
        <is>
          <t>keep-testing</t>
        </is>
      </c>
    </row>
    <row r="5">
      <c r="C5" t="inlineStr">
        <is>
          <t>txt</t>
        </is>
      </c>
      <c r="H5" t="inlineStr">
        <is>
          <t>Mixed</t>
        </is>
      </c>
      <c r="K5" t="inlineStr">
        <is>
          <t>mixed</t>
        </is>
      </c>
      <c r="L5" t="inlineStr">
        <is>
          <t>python</t>
        </is>
      </c>
      <c r="M5" t="inlineStr">
        <is>
          <t>ground_truth</t>
        </is>
      </c>
      <c r="N5" t="inlineStr">
        <is>
          <t>test-only</t>
        </is>
      </c>
      <c r="O5" t="inlineStr">
        <is>
          <t>rollback</t>
        </is>
      </c>
    </row>
    <row r="6">
      <c r="C6" t="inlineStr">
        <is>
          <t>png</t>
        </is>
      </c>
      <c r="H6" t="inlineStr">
        <is>
          <t>N/A</t>
        </is>
      </c>
      <c r="L6" t="inlineStr">
        <is>
          <t>javascript</t>
        </is>
      </c>
    </row>
    <row r="7">
      <c r="C7" t="inlineStr">
        <is>
          <t>jpg</t>
        </is>
      </c>
    </row>
    <row r="8">
      <c r="C8" t="inlineStr">
        <is>
          <t>md</t>
        </is>
      </c>
    </row>
    <row r="9">
      <c r="C9" t="inlineStr">
        <is>
          <t>json</t>
        </is>
      </c>
    </row>
  </sheetData>
  <pageMargins left="0.75" right="0.75" top="1" bottom="1" header="0.5" footer="0.5"/>
</worksheet>
</file>

<file path=xl/worksheets/sheet13.xml><?xml version="1.0" encoding="utf-8"?>
<worksheet xmlns="http://schemas.openxmlformats.org/spreadsheetml/2006/main">
  <sheetPr>
    <tabColor rgb="005A4B81"/>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11" customWidth="1" min="3" max="3"/>
    <col width="13" customWidth="1" min="4" max="4"/>
    <col width="15" customWidth="1" min="5" max="5"/>
    <col width="11" customWidth="1" min="6" max="6"/>
    <col width="9" customWidth="1" min="7" max="7"/>
    <col width="14" customWidth="1" min="8" max="8"/>
    <col width="15" customWidth="1" min="9" max="9"/>
    <col width="10" customWidth="1" min="10" max="10"/>
    <col width="14" customWidth="1" min="11" max="11"/>
    <col width="8" customWidth="1" min="12" max="12"/>
    <col width="15" customWidth="1" min="13" max="13"/>
    <col width="15" customWidth="1" min="14" max="14"/>
    <col width="16" customWidth="1" min="15" max="15"/>
    <col width="15" customWidth="1" min="16" max="16"/>
    <col width="14" customWidth="1" min="17" max="17"/>
  </cols>
  <sheetData>
    <row r="1">
      <c r="A1" s="9" t="inlineStr">
        <is>
          <t>run_id</t>
        </is>
      </c>
      <c r="B1" s="9" t="inlineStr">
        <is>
          <t>function_name</t>
        </is>
      </c>
      <c r="C1" s="9" t="inlineStr">
        <is>
          <t>route_key</t>
        </is>
      </c>
      <c r="D1" s="9" t="inlineStr">
        <is>
          <t>recorded_at</t>
        </is>
      </c>
      <c r="E1" s="9" t="inlineStr">
        <is>
          <t>artifact_type</t>
        </is>
      </c>
      <c r="F1" s="9" t="inlineStr">
        <is>
          <t>stable_id</t>
        </is>
      </c>
      <c r="G1" s="9" t="inlineStr">
        <is>
          <t>version</t>
        </is>
      </c>
      <c r="H1" s="9" t="inlineStr">
        <is>
          <t>subject_code</t>
        </is>
      </c>
      <c r="I1" s="9" t="inlineStr">
        <is>
          <t>question_type</t>
        </is>
      </c>
      <c r="J1" s="9" t="inlineStr">
        <is>
          <t>language</t>
        </is>
      </c>
      <c r="K1" s="9" t="inlineStr">
        <is>
          <t>content_hash</t>
        </is>
      </c>
      <c r="L1" s="9" t="inlineStr">
        <is>
          <t>source</t>
        </is>
      </c>
      <c r="M1" s="9" t="inlineStr">
        <is>
          <t>source_commit</t>
        </is>
      </c>
      <c r="N1" s="9" t="inlineStr">
        <is>
          <t>change_reason</t>
        </is>
      </c>
      <c r="O1" s="9" t="inlineStr">
        <is>
          <t>change_summary</t>
        </is>
      </c>
      <c r="P1" s="9" t="inlineStr">
        <is>
          <t>snapshot_file</t>
        </is>
      </c>
      <c r="Q1" s="9" t="inlineStr">
        <is>
          <t>history_file</t>
        </is>
      </c>
    </row>
  </sheetData>
  <autoFilter ref="A1:Q1"/>
  <pageMargins left="0.75" right="0.75" top="1" bottom="1" header="0.5" footer="0.5"/>
</worksheet>
</file>

<file path=xl/worksheets/sheet14.xml><?xml version="1.0" encoding="utf-8"?>
<worksheet xmlns="http://schemas.openxmlformats.org/spreadsheetml/2006/main">
  <sheetPr>
    <tabColor rgb="007A9E7E"/>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48" customWidth="1" min="1" max="1"/>
    <col width="19" customWidth="1" min="2" max="2"/>
    <col width="35" customWidth="1" min="3" max="3"/>
    <col width="10" customWidth="1" min="4" max="4"/>
    <col width="38" customWidth="1" min="5" max="5"/>
    <col width="20" customWidth="1" min="6" max="6"/>
    <col width="25" customWidth="1" min="7" max="7"/>
    <col width="8" customWidth="1" min="8" max="8"/>
    <col width="14" customWidth="1" min="9" max="9"/>
    <col width="15" customWidth="1" min="10" max="10"/>
    <col width="16" customWidth="1" min="11" max="11"/>
    <col width="12"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s>
  <sheetData>
    <row r="1">
      <c r="A1" s="9" t="inlineStr">
        <is>
          <t>run_id</t>
        </is>
      </c>
      <c r="B1" s="9" t="inlineStr">
        <is>
          <t>function_name</t>
        </is>
      </c>
      <c r="C1" s="9" t="inlineStr">
        <is>
          <t>recorded_at</t>
        </is>
      </c>
      <c r="D1" s="9" t="inlineStr">
        <is>
          <t>subject</t>
        </is>
      </c>
      <c r="E1" s="9" t="inlineStr">
        <is>
          <t>source_file</t>
        </is>
      </c>
      <c r="F1" s="9" t="inlineStr">
        <is>
          <t>mode</t>
        </is>
      </c>
      <c r="G1" s="9" t="inlineStr">
        <is>
          <t>primary_model</t>
        </is>
      </c>
      <c r="H1" s="9" t="inlineStr">
        <is>
          <t>status</t>
        </is>
      </c>
      <c r="I1" s="9" t="inlineStr">
        <is>
          <t>input_tokens</t>
        </is>
      </c>
      <c r="J1" s="9" t="inlineStr">
        <is>
          <t>output_tokens</t>
        </is>
      </c>
      <c r="K1" s="9" t="inlineStr">
        <is>
          <t>total_cost_usd</t>
        </is>
      </c>
      <c r="L1" s="9" t="inlineStr">
        <is>
          <t>latency_ms</t>
        </is>
      </c>
      <c r="M1" s="9" t="inlineStr">
        <is>
          <t>parsed_summary</t>
        </is>
      </c>
      <c r="N1" s="9" t="inlineStr">
        <is>
          <t>content_preview</t>
        </is>
      </c>
      <c r="O1" s="9" t="inlineStr">
        <is>
          <t>structure_preview</t>
        </is>
      </c>
      <c r="P1" s="9" t="inlineStr">
        <is>
          <t>tags_or_topics</t>
        </is>
      </c>
      <c r="Q1" s="9" t="inlineStr">
        <is>
          <t>human_readable_result</t>
        </is>
      </c>
      <c r="R1" s="9" t="inlineStr">
        <is>
          <t>evidence_file</t>
        </is>
      </c>
      <c r="S1" s="9" t="inlineStr">
        <is>
          <t>history_file</t>
        </is>
      </c>
    </row>
    <row r="2">
      <c r="A2" t="inlineStr">
        <is>
          <t>extracted-content-20260716102942774-d468fee80a004a6b9084cd55</t>
        </is>
      </c>
      <c r="B2" t="inlineStr">
        <is>
          <t>extracted-content</t>
        </is>
      </c>
      <c r="C2" t="inlineStr">
        <is>
          <t>2026-07-16T10:29:42.7745087+00:00</t>
        </is>
      </c>
      <c r="D2" t="inlineStr">
        <is>
          <t>JAVA_OOP</t>
        </is>
      </c>
      <c r="E2" t="inlineStr">
        <is>
          <t>50547bd6c8d656556ab8f71685032926.png</t>
        </is>
      </c>
      <c r="F2" t="inlineStr">
        <is>
          <t>FullMultimodalPage</t>
        </is>
      </c>
      <c r="G2" t="inlineStr">
        <is>
          <t>gpt-5.4-mini</t>
        </is>
      </c>
      <c r="H2" t="inlineStr"/>
      <c r="I2" t="inlineStr">
        <is>
          <t>49</t>
        </is>
      </c>
      <c r="J2" t="inlineStr">
        <is>
          <t>1241</t>
        </is>
      </c>
      <c r="K2" t="inlineStr">
        <is>
          <t>0.000752</t>
        </is>
      </c>
      <c r="L2" t="inlineStr">
        <is>
          <t>2322.0</t>
        </is>
      </c>
      <c r="M2" t="inlineStr">
        <is>
          <t>parser=multimodal-page-parser | vision=gpt-5.4-mini | words=606 | images=1</t>
        </is>
      </c>
      <c r="N2" t="inlineStr">
        <is>
          <t># Parsed Document: 50547bd6c8d656556ab8f71685032926.png Mode: full-multimodal-page ### Vision Extracted From Image `D:\1_Tailieuhoctap REAL Reborn\Ky9 - Final\Prototype_AI_Module_repo\src-dotnet\Ape.AiModule.Api\App_Data\uploads\20260716\20260716-102923546-e96a60f8-50547bd6c8d656556ab8f71685032926.png` # JAVA OOP CHEAT SHEET *edureka!* *Learn JAVA from experts at https://www.edureka.co* --- ## Object Oriented Programming in Java Java is an Object Oriented Programming language that produces software for multiple platforms. An object-based application in Java is concerned with declaring classes, creating objects from them and interacting between these objects. ### Java Classes ```java class Test { /* class body member variables methods } ``` ### Java Objects ```java //Declaring and Initializing an object Test t = new Test(); ``` --- ## Constructors ### Default Constructor ```java class Test{ /* Added by the Java Compiler at the Run Time Test() { } */ public static void main(String args[]) { Test testObj = new Test(); } ``` ### Parameterized Constructor ```java public class Test { int appId; String appName; //Parameterized constructor with two parameters Test(int id, String name){...</t>
        </is>
      </c>
      <c r="O2" t="inlineStr">
        <is>
          <t>Parsed Document: 50547bd6c8d656556ab8f71685032926.png | Vision Extracted From Image `D:\1_Tailieuhoctap REAL Reborn\Ky9 - Final\Prototype_AI_Module_repo\src-dotnet\Ape.AiModule.Api\App_Data\uploads\20260716\20260716-102923546-e96a60f8-50547bd6c8d656556ab8f71685032926.png` | JAVA OOP CHEAT SHEET | Object Oriented Programming in Java | Java Classes | Java Objects | Constructors | Default Constructor | +17 more</t>
        </is>
      </c>
      <c r="P2" t="inlineStr"/>
      <c r="Q2" t="inlineStr">
        <is>
          <t># Parsed Document: 50547bd6c8d656556ab8f71685032926.png Mode: full-multimodal-page ### Vision Extracted From Image `D:\1_Tailieuhoctap REAL Reborn\Ky9 - Final\Prototype_AI_Module_repo\src-dotnet\Ape.AiModule.Api\App_Data\uploads\20260716\20260716-102923546-e96a60f8-50547bd6c8d656556ab8f71685032926.png` # JAVA OOP CHEAT SHEET *edureka!* *Learn JAVA from experts at https://www.edureka.co* --- ## Object Oriented Programming in Java Java is an Object Oriented Programming language that produces so...</t>
        </is>
      </c>
      <c r="R2" t="inlineStr">
        <is>
          <t>Docs/Prototype_Document/Guides/Templates/AI_Report/report_evidence/input-quality/extracted-content-20260716102942774-d468fee80a004a6b9084cd55.md</t>
        </is>
      </c>
      <c r="S2" t="inlineStr">
        <is>
          <t>src-dotnet/Ape.AiModule.Api/App_Data/run-history/extracted-content/extracted-content-20260716102942774-d468fee80a004a6b9084cd55.json</t>
        </is>
      </c>
    </row>
    <row r="3">
      <c r="A3" t="inlineStr">
        <is>
          <t>embedding-tagging-20260716103129118-6438a7d6e51f4f3caacf845d</t>
        </is>
      </c>
      <c r="B3" t="inlineStr">
        <is>
          <t>embedding-tagging</t>
        </is>
      </c>
      <c r="C3" t="inlineStr">
        <is>
          <t>2026-07-16T10:31:29.1187204+00:00</t>
        </is>
      </c>
      <c r="D3" t="inlineStr">
        <is>
          <t>C</t>
        </is>
      </c>
      <c r="E3" t="inlineStr">
        <is>
          <t>Slot_00_Course Introduction.pptx</t>
        </is>
      </c>
      <c r="F3" t="inlineStr">
        <is>
          <t>TextOnly</t>
        </is>
      </c>
      <c r="G3" t="inlineStr">
        <is>
          <t>embed-multilingual-v3.0</t>
        </is>
      </c>
      <c r="H3" t="inlineStr"/>
      <c r="I3" t="inlineStr">
        <is>
          <t>2424</t>
        </is>
      </c>
      <c r="J3" t="inlineStr">
        <is>
          <t>11</t>
        </is>
      </c>
      <c r="K3" t="inlineStr">
        <is>
          <t>0.000371</t>
        </is>
      </c>
      <c r="L3" t="inlineStr">
        <is>
          <t>4383.0</t>
        </is>
      </c>
      <c r="M3" t="inlineStr">
        <is>
          <t>chunks=3 | embedding=embed-multilingual-v3.0 | tagging=gpt-5.4-mini | strategies=logical_block</t>
        </is>
      </c>
      <c r="N3" t="inlineStr">
        <is>
          <t># slide10 Materials/ References Foundations of Programming Using C(Hard Copy - FPT University Library) Author: Evan Weaver Published Date: July, 2006 2) The C Programming Language Authors: Brian W. Kernighan, Dennis M. Ritchie Published Date: 1988; Edition: 2ndEdtitions 3) MOOC: Introduction to C Course Link: https://intro2c.sdds.ca/ Authors: Chris Szalwinsk and Seneca College 10 30/12/2024 # slide12 Course Rules How to conduct Prepare content... || # slide15 Academic policy Cheating, plagiarism and breach of copyright are serious offenses under this Policy. Cheating Cheating during a test or exam is construed as talking, peeking at another student’s paper or any other clandestine method of transmitting information. Plagiarism Plagiarism is using the work of others without citing it; that is, holding the work of others out as your own work. Breach of Copyright If you photocopy a textbook...</t>
        </is>
      </c>
      <c r="O3" t="inlineStr">
        <is>
          <t>slide10 | slide15 | slide7</t>
        </is>
      </c>
      <c r="P3" t="inlineStr">
        <is>
          <t>array, class, en, method, object</t>
        </is>
      </c>
      <c r="Q3" t="inlineStr">
        <is>
          <t>3 chunks; top sections: slide10, slide15, slide7</t>
        </is>
      </c>
      <c r="R3" t="inlineStr">
        <is>
          <t>Docs/Prototype_Document/Guides/Templates/AI_Report/report_evidence/input-quality/embedding-tagging-20260716103129118-6438a7d6e51f4f3caacf845d.md</t>
        </is>
      </c>
      <c r="S3" t="inlineStr">
        <is>
          <t>src-dotnet/Ape.AiModule.Api/App_Data/run-history/embedding-tagging/embedding-tagging-20260716103129118-6438a7d6e51f4f3caacf845d.json</t>
        </is>
      </c>
    </row>
    <row r="4">
      <c r="A4" t="inlineStr">
        <is>
          <t>embedding-tagging-20260716104452917-c1f8fd1e08fd412b823d467c</t>
        </is>
      </c>
      <c r="B4" t="inlineStr">
        <is>
          <t>embedding-tagging</t>
        </is>
      </c>
      <c r="C4" t="inlineStr">
        <is>
          <t>2026-07-16T10:44:52.9178874+00:00</t>
        </is>
      </c>
      <c r="D4" t="inlineStr">
        <is>
          <t>C</t>
        </is>
      </c>
      <c r="E4" t="inlineStr">
        <is>
          <t>Slot_00_Course Introduction.pptx</t>
        </is>
      </c>
      <c r="F4" t="inlineStr">
        <is>
          <t>TextOnly</t>
        </is>
      </c>
      <c r="G4" t="inlineStr">
        <is>
          <t>embed-multilingual-v3.0</t>
        </is>
      </c>
      <c r="H4" t="inlineStr"/>
      <c r="I4" t="inlineStr">
        <is>
          <t>2424</t>
        </is>
      </c>
      <c r="J4" t="inlineStr">
        <is>
          <t>12</t>
        </is>
      </c>
      <c r="K4" t="inlineStr">
        <is>
          <t>0.000372</t>
        </is>
      </c>
      <c r="L4" t="inlineStr">
        <is>
          <t>4384.8</t>
        </is>
      </c>
      <c r="M4" t="inlineStr">
        <is>
          <t>chunks=3 | embedding=embed-multilingual-v3.0 | tagging=gpt-5.4-mini | strategies=logical_block</t>
        </is>
      </c>
      <c r="N4" t="inlineStr">
        <is>
          <t># slide10 Materials/ References Foundations of Programming Using C(Hard Copy - FPT University Library) Author: Evan Weaver Published Date: July, 2006 2) The C Programming Language Authors: Brian W. Kernighan, Dennis M. Ritchie Published Date: 1988; Edition: 2ndEdtitions 3) MOOC: Introduction to C Course Link: https://intro2c.sdds.ca/ Authors: Chris Szalwinsk and Seneca College 10 30/12/2024 # slide12 Course Rules How to conduct Prepare content... || # slide15 Academic policy Cheating, plagiarism and breach of copyright are serious offenses under this Policy. Cheating Cheating during a test or exam is construed as talking, peeking at another student’s paper or any other clandestine method of transmitting information. Plagiarism Plagiarism is using the work of others without citing it; that is, holding the work of others out as your own work. Breach of Copyright If you photocopy a textbook...</t>
        </is>
      </c>
      <c r="O4" t="inlineStr">
        <is>
          <t>slide10 | slide15 | slide7</t>
        </is>
      </c>
      <c r="P4" t="inlineStr">
        <is>
          <t>array, class, en, loop, method, object</t>
        </is>
      </c>
      <c r="Q4" t="inlineStr">
        <is>
          <t>3 chunks; top sections: slide10, slide15, slide7</t>
        </is>
      </c>
      <c r="R4" t="inlineStr">
        <is>
          <t>Docs/Prototype_Document/Guides/Templates/AI_Report/report_evidence/input-quality/embedding-tagging-20260716104452917-c1f8fd1e08fd412b823d467c.md</t>
        </is>
      </c>
      <c r="S4" t="inlineStr">
        <is>
          <t>src-dotnet/Ape.AiModule.Api/App_Data/run-history/embedding-tagging/embedding-tagging-20260716104452917-c1f8fd1e08fd412b823d467c.json</t>
        </is>
      </c>
    </row>
    <row r="5">
      <c r="A5" t="inlineStr">
        <is>
          <t>extracted-content-20260717171818863-e813225a7a024cafa7876d19</t>
        </is>
      </c>
      <c r="B5" t="inlineStr">
        <is>
          <t>extracted-content</t>
        </is>
      </c>
      <c r="C5" t="inlineStr">
        <is>
          <t>2026-07-17T17:18:18.8630729+00:00</t>
        </is>
      </c>
      <c r="D5" t="inlineStr">
        <is>
          <t>C</t>
        </is>
      </c>
      <c r="E5" t="inlineStr">
        <is>
          <t>Slot_01_Introduction to PFC.pptx</t>
        </is>
      </c>
      <c r="F5" t="inlineStr">
        <is>
          <t>TextOnly</t>
        </is>
      </c>
      <c r="G5" t="inlineStr">
        <is>
          <t>models/gemini-3.5-flash</t>
        </is>
      </c>
      <c r="H5" t="inlineStr"/>
      <c r="I5" t="inlineStr">
        <is>
          <t>4473</t>
        </is>
      </c>
      <c r="J5" t="inlineStr">
        <is>
          <t>6582</t>
        </is>
      </c>
      <c r="K5" t="inlineStr">
        <is>
          <t>0.00462</t>
        </is>
      </c>
      <c r="L5" t="inlineStr">
        <is>
          <t>19899.0</t>
        </is>
      </c>
      <c r="M5" t="inlineStr">
        <is>
          <t>parser=text-parser | vision=None | words=2297 | images=28</t>
        </is>
      </c>
      <c r="N5" t="inlineStr">
        <is>
          <t># Parsed Document: Slot_01_Introduction to PFC.pptx Mode: text-only # slide1 Introduction to Programming Fundamentals using C # slide10 Issues for a program/ software 10 Usability: Users can use the program to solve the problem Robust and user-friendly interfaces Correctness: The solution must be correct Comprehensive testing Maintainability: The program can be modified easily Understandability: Structured programming; Document the code and overall design to help others (and yourself) understand and maintain the software. Modifiability: Standards compliance Portability: The program can run on different platforms with minimal modification Standards compliance  Needed modifications are minimum (platform: CPU + operating system running on it) 30/12/2024 # slide11 Issues for a program/ software (cont.) 11 Modularity: Break the program into smaller, self-contained modules or functions. Each module should perform a specific task or represent a logical grouping of related functionality. Scalability: Ensure the software can handle increased loads (e.g., more users, larger datasets) without significant performance degradation. Opt for efficient algorithms and data structures. Robustness...</t>
        </is>
      </c>
      <c r="O5" t="inlineStr">
        <is>
          <t>Parsed Document: Slot_01_Introduction to PFC.pptx | slide1 | slide10 | slide11 | slide12 | slide13 | slide14 | slide15 | +66 more</t>
        </is>
      </c>
      <c r="P5" t="inlineStr"/>
      <c r="Q5" t="inlineStr">
        <is>
          <t># Parsed Document: Slot_01_Introduction to PFC.pptx Mode: text-only # slide1 Introduction to Programming Fundamentals using C # slide10 Issues for a program/ software 10 Usability: Users can use the program to solve the problem Robust and user-friendly interfaces Correctness: The solution must be correct Comprehensive testing Maintainability: The program can be modified easily Understandability: Structured programming; Document the code and overall design to help others (and yourself) underst...</t>
        </is>
      </c>
      <c r="R5" t="inlineStr">
        <is>
          <t>Docs/Prototype_Document/Guides/Templates/AI_Report/report_evidence/input-quality/extracted-content-20260717171818863-e813225a7a024cafa7876d19.md</t>
        </is>
      </c>
      <c r="S5" t="inlineStr">
        <is>
          <t>src-dotnet/Ape.AiModule.Api/App_Data/run-history/extracted-content/extracted-content-20260717171818863-e813225a7a024cafa7876d19.json</t>
        </is>
      </c>
    </row>
    <row r="6">
      <c r="A6" t="inlineStr">
        <is>
          <t>extracted-content-20260717175341546-e3f5d057800341fca465155e</t>
        </is>
      </c>
      <c r="B6" t="inlineStr">
        <is>
          <t>extracted-content</t>
        </is>
      </c>
      <c r="C6" t="inlineStr">
        <is>
          <t>2026-07-17T17:53:41.5465464+00:00</t>
        </is>
      </c>
      <c r="D6" t="inlineStr">
        <is>
          <t>C</t>
        </is>
      </c>
      <c r="E6" t="inlineStr">
        <is>
          <t>Slot_02_03_04_Basic_Computation.pptx</t>
        </is>
      </c>
      <c r="F6" t="inlineStr">
        <is>
          <t>TextOnly</t>
        </is>
      </c>
      <c r="G6" t="inlineStr">
        <is>
          <t>models/gemini-3.5-flash</t>
        </is>
      </c>
      <c r="H6" t="inlineStr"/>
      <c r="I6" t="inlineStr">
        <is>
          <t>7081</t>
        </is>
      </c>
      <c r="J6" t="inlineStr">
        <is>
          <t>11112</t>
        </is>
      </c>
      <c r="K6" t="inlineStr">
        <is>
          <t>0.007729</t>
        </is>
      </c>
      <c r="L6" t="inlineStr">
        <is>
          <t>32747.4</t>
        </is>
      </c>
      <c r="M6" t="inlineStr">
        <is>
          <t>parser=text-parser | vision=models/gemini-3.5-flash | words=3457 | images=53</t>
        </is>
      </c>
      <c r="N6" t="inlineStr">
        <is>
          <t># Parsed Document: Slot_02_03_04_Basic_Computation.pptx Mode: text-only # slide1 Basic Computation # slide10 int Type Size Specifiers Specifying the size of an int ensures that the type contains a minimum number of bits. The three specifiers are: short: at least 16 bits long: at least 32 bits long long: at least 64 bits Standard C does not specify that a long double must occupy a minimum number of bits, only that it occupies no fewer bits than a double. 10 30/12/2024 # slide11 double Type Size Specifier The size of a long double depends on the environment and is typically at least 64 bits: long double type only ensures that it contains at least as many bits as a double 11 30/12/2024 # slide12 const Qualifier Any type can hold a constant value. A constant value cannot be changed. To qualify a type as holding a constant value we use the keyword const A type qualified as const is unmodifiable. If a program instruction attempts to modify a const qualified type, the compiler will report an error. 12 30/12/2024 # slide13 Representing Values Hardware manufacturers distinguish integral types from floating-point types and represent integral data and floating-point data differently. Integ...</t>
        </is>
      </c>
      <c r="O6" t="inlineStr">
        <is>
          <t>Parsed Document: Slot_02_03_04_Basic_Computation.pptx | slide1 | slide10 | slide11 | slide12 | slide13 | slide14 | slide15 | +110 more</t>
        </is>
      </c>
      <c r="P6" t="inlineStr"/>
      <c r="Q6" t="inlineStr">
        <is>
          <t># Parsed Document: Slot_02_03_04_Basic_Computation.pptx Mode: text-only # slide1 Basic Computation # slide10 int Type Size Specifiers Specifying the size of an int ensures that the type contains a minimum number of bits. The three specifiers are: short: at least 16 bits long: at least 32 bits long long: at least 64 bits Standard C does not specify that a long double must occupy a minimum number of bits, only that it occupies no fewer bits than a double. 10 30/12/2024 # slide11 double Type Siz...</t>
        </is>
      </c>
      <c r="R6" t="inlineStr">
        <is>
          <t>Docs/Prototype_Document/Guides/Templates/AI_Report/report_evidence/input-quality/extracted-content-20260717175341546-e3f5d057800341fca465155e.md</t>
        </is>
      </c>
      <c r="S6" t="inlineStr">
        <is>
          <t>src-dotnet/Ape.AiModule.Api/App_Data/run-history/extracted-content/extracted-content-20260717175341546-e3f5d057800341fca465155e.json</t>
        </is>
      </c>
    </row>
    <row r="7">
      <c r="A7" t="inlineStr">
        <is>
          <t>extracted-content-20260717175927015-833f8fed16d4404d99d95c9c</t>
        </is>
      </c>
      <c r="B7" t="inlineStr">
        <is>
          <t>extracted-content</t>
        </is>
      </c>
      <c r="C7" t="inlineStr">
        <is>
          <t>2026-07-17T17:59:27.0151136+00:00</t>
        </is>
      </c>
      <c r="D7" t="inlineStr">
        <is>
          <t>C</t>
        </is>
      </c>
      <c r="E7" t="inlineStr">
        <is>
          <t>Slot_02_03_04_Basic_Computation.pptx</t>
        </is>
      </c>
      <c r="F7" t="inlineStr">
        <is>
          <t>FullMultimodalPage</t>
        </is>
      </c>
      <c r="G7" t="inlineStr">
        <is>
          <t>models/gemini-3.5-flash</t>
        </is>
      </c>
      <c r="H7" t="inlineStr"/>
      <c r="I7" t="inlineStr">
        <is>
          <t>7081</t>
        </is>
      </c>
      <c r="J7" t="inlineStr">
        <is>
          <t>11115</t>
        </is>
      </c>
      <c r="K7" t="inlineStr">
        <is>
          <t>0.007731</t>
        </is>
      </c>
      <c r="L7" t="inlineStr">
        <is>
          <t>32752.8</t>
        </is>
      </c>
      <c r="M7" t="inlineStr">
        <is>
          <t>parser=multimodal-page-parser | vision=models/gemini-3.5-flash | words=3457 | images=53</t>
        </is>
      </c>
      <c r="N7" t="inlineStr">
        <is>
          <t># Parsed Document: Slot_02_03_04_Basic_Computation.pptx Mode: full-multimodal-page # slide1 Basic Computation # slide10 int Type Size Specifiers Specifying the size of an int ensures that the type contains a minimum number of bits. The three specifiers are: short: at least 16 bits long: at least 32 bits long long: at least 64 bits Standard C does not specify that a long double must occupy a minimum number of bits, only that it occupies no fewer bits than a double. 10 30/12/2024 # slide11 double Type Size Specifier The size of a long double depends on the environment and is typically at least 64 bits: long double type only ensures that it contains at least as many bits as a double 11 30/12/2024 # slide12 const Qualifier Any type can hold a constant value. A constant value cannot be changed. To qualify a type as holding a constant value we use the keyword const A type qualified as const is unmodifiable. If a program instruction attempts to modify a const qualified type, the compiler will report an error. 12 30/12/2024 # slide13 Representing Values Hardware manufacturers distinguish integral types from floating-point types and represent integral data and floating-point data differe...</t>
        </is>
      </c>
      <c r="O7" t="inlineStr">
        <is>
          <t>Parsed Document: Slot_02_03_04_Basic_Computation.pptx | slide1 | slide10 | slide11 | slide12 | slide13 | slide14 | slide15 | +110 more</t>
        </is>
      </c>
      <c r="P7" t="inlineStr"/>
      <c r="Q7" t="inlineStr">
        <is>
          <t># Parsed Document: Slot_02_03_04_Basic_Computation.pptx Mode: full-multimodal-page # slide1 Basic Computation # slide10 int Type Size Specifiers Specifying the size of an int ensures that the type contains a minimum number of bits. The three specifiers are: short: at least 16 bits long: at least 32 bits long long: at least 64 bits Standard C does not specify that a long double must occupy a minimum number of bits, only that it occupies no fewer bits than a double. 10 30/12/2024 # slide11 doub...</t>
        </is>
      </c>
      <c r="R7" t="inlineStr">
        <is>
          <t>Docs/Prototype_Document/Guides/Templates/AI_Report/report_evidence/input-quality/extracted-content-20260717175927015-833f8fed16d4404d99d95c9c.md</t>
        </is>
      </c>
      <c r="S7" t="inlineStr">
        <is>
          <t>src-dotnet/Ape.AiModule.Api/App_Data/run-history/extracted-content/extracted-content-20260717175927015-833f8fed16d4404d99d95c9c.json</t>
        </is>
      </c>
    </row>
    <row r="8">
      <c r="A8" t="inlineStr">
        <is>
          <t>extracted-content-20260717180836935-4b0c00b84f9141949270f332</t>
        </is>
      </c>
      <c r="B8" t="inlineStr">
        <is>
          <t>extracted-content</t>
        </is>
      </c>
      <c r="C8" t="inlineStr">
        <is>
          <t>2026-07-17T18:08:36.9356175+00:00</t>
        </is>
      </c>
      <c r="D8" t="inlineStr">
        <is>
          <t>C</t>
        </is>
      </c>
      <c r="E8" t="inlineStr">
        <is>
          <t>Slot_02_03_04_Basic_Computation.pptx</t>
        </is>
      </c>
      <c r="F8" t="inlineStr">
        <is>
          <t>TextOnly</t>
        </is>
      </c>
      <c r="G8" t="inlineStr">
        <is>
          <t>models/gemini-3.5-flash</t>
        </is>
      </c>
      <c r="H8" t="inlineStr"/>
      <c r="I8" t="inlineStr">
        <is>
          <t>7081</t>
        </is>
      </c>
      <c r="J8" t="inlineStr">
        <is>
          <t>11112</t>
        </is>
      </c>
      <c r="K8" t="inlineStr">
        <is>
          <t>0.007729</t>
        </is>
      </c>
      <c r="L8" t="inlineStr">
        <is>
          <t>32747.4</t>
        </is>
      </c>
      <c r="M8" t="inlineStr">
        <is>
          <t>parser=text-parser | vision=models/gemini-3.5-flash | words=3457 | images=53</t>
        </is>
      </c>
      <c r="N8" t="inlineStr">
        <is>
          <t># Parsed Document: Slot_02_03_04_Basic_Computation.pptx Mode: text-only # slide1 Basic Computation # slide10 int Type Size Specifiers Specifying the size of an int ensures that the type contains a minimum number of bits. The three specifiers are: short: at least 16 bits long: at least 32 bits long long: at least 64 bits Standard C does not specify that a long double must occupy a minimum number of bits, only that it occupies no fewer bits than a double. 10 30/12/2024 # slide11 double Type Size Specifier The size of a long double depends on the environment and is typically at least 64 bits: long double type only ensures that it contains at least as many bits as a double 11 30/12/2024 # slide12 const Qualifier Any type can hold a constant value. A constant value cannot be changed. To qualify a type as holding a constant value we use the keyword const A type qualified as const is unmodifiable. If a program instruction attempts to modify a const qualified type, the compiler will report an error. 12 30/12/2024 # slide13 Representing Values Hardware manufacturers distinguish integral types from floating-point types and represent integral data and floating-point data differently. Integ...</t>
        </is>
      </c>
      <c r="O8" t="inlineStr">
        <is>
          <t>Parsed Document: Slot_02_03_04_Basic_Computation.pptx | slide1 | slide10 | slide11 | slide12 | slide13 | slide14 | slide15 | +110 more</t>
        </is>
      </c>
      <c r="P8" t="inlineStr"/>
      <c r="Q8" t="inlineStr">
        <is>
          <t># Parsed Document: Slot_02_03_04_Basic_Computation.pptx Mode: text-only # slide1 Basic Computation # slide10 int Type Size Specifiers Specifying the size of an int ensures that the type contains a minimum number of bits. The three specifiers are: short: at least 16 bits long: at least 32 bits long long: at least 64 bits Standard C does not specify that a long double must occupy a minimum number of bits, only that it occupies no fewer bits than a double. 10 30/12/2024 # slide11 double Type Siz...</t>
        </is>
      </c>
      <c r="R8" t="inlineStr">
        <is>
          <t>Docs/Prototype_Document/Guides/Templates/AI_Report/report_evidence/input-quality/extracted-content-20260717180836935-4b0c00b84f9141949270f332.md</t>
        </is>
      </c>
      <c r="S8" t="inlineStr">
        <is>
          <t>src-dotnet/Ape.AiModule.Api/App_Data/run-history/extracted-content/extracted-content-20260717180836935-4b0c00b84f9141949270f332.json</t>
        </is>
      </c>
    </row>
    <row r="9">
      <c r="A9" t="inlineStr">
        <is>
          <t>embedding-tagging-20260717180958267-904a16cce7ba43ef975ec7cd</t>
        </is>
      </c>
      <c r="B9" t="inlineStr">
        <is>
          <t>embedding-tagging</t>
        </is>
      </c>
      <c r="C9" t="inlineStr">
        <is>
          <t>2026-07-17T18:09:58.2677013+00:00</t>
        </is>
      </c>
      <c r="D9" t="inlineStr"/>
      <c r="E9" t="inlineStr"/>
      <c r="F9" t="inlineStr"/>
      <c r="G9" t="inlineStr">
        <is>
          <t>embed-multilingual-v3.0</t>
        </is>
      </c>
      <c r="H9" t="inlineStr"/>
      <c r="I9" t="inlineStr">
        <is>
          <t>21164</t>
        </is>
      </c>
      <c r="J9" t="inlineStr">
        <is>
          <t>59</t>
        </is>
      </c>
      <c r="K9" t="inlineStr">
        <is>
          <t>0.003216</t>
        </is>
      </c>
      <c r="L9" t="inlineStr">
        <is>
          <t>38201.4</t>
        </is>
      </c>
      <c r="M9" t="inlineStr">
        <is>
          <t>chunks=12 | embedding=embed-multilingual-v3.0 | tagging=gpt-5.4-mini | strategies=logical_block</t>
        </is>
      </c>
      <c r="N9" t="inlineStr">
        <is>
          <t># slide10 int Type Size Specifiers Specifying the size of an int ensures that the type contains a minimum number of bits. The three specifiers are: short: at least 16 bits long: at least 32 bits long long: at least 64 bits Standard C does not specify that a long double must occupy a minimum number of bits, only that it occupies no fewer bits than a double. 10 30/12/2024 # slide11 double Type Size Specifier The size of a long double depends on... || # slide16 Negative and Positive Values Computers store negative integers using encoding schemes: Two's complement notation, One's complement notation, and Sign magnitude notation. All of these schemes represent non-negative integers identically. The most popular scheme is two's complement. To obtain the two's complement of an integer, we: Flip the bits (1-complement) Add one  2-complement 16 30/12/2024 # slide17 Two's complement notation To o...</t>
        </is>
      </c>
      <c r="O9" t="inlineStr">
        <is>
          <t>slide10 | slide16 | slide24 | slide33 | slide47 | slide54 | slide6 | Vision Extracted From Image `D:\1_Tailieuhoctap REAL Reborn\Ky9 - Final\Prototype_AI_Module_repo\src-dotnet\Ape.AiModule.Api\App_Data\uploads\20260717\20260717-180823929-3f11bd08-Slot_02_03_04_Basic_Computation-media\image14.png` | +4 more</t>
        </is>
      </c>
      <c r="P9" t="inlineStr">
        <is>
          <t>array, class, condition, en, loop, pointer, variables</t>
        </is>
      </c>
      <c r="Q9" t="inlineStr">
        <is>
          <t>12 chunks; top sections: slide10, slide16, slide24, slide33, slide47 | +7 more</t>
        </is>
      </c>
      <c r="R9" t="inlineStr">
        <is>
          <t>Docs/Prototype_Document/Guides/Templates/AI_Report/report_evidence/input-quality/embedding-tagging-20260717180958267-904a16cce7ba43ef975ec7cd.md</t>
        </is>
      </c>
      <c r="S9" t="inlineStr">
        <is>
          <t>src-dotnet/Ape.AiModule.Api/App_Data/run-history/embedding-tagging/embedding-tagging-20260717180958267-904a16cce7ba43ef975ec7cd.json</t>
        </is>
      </c>
    </row>
  </sheetData>
  <autoFilter ref="A1:S9"/>
  <pageMargins left="0.75" right="0.75" top="1" bottom="1" header="0.5" footer="0.5"/>
</worksheet>
</file>

<file path=xl/worksheets/sheet15.xml><?xml version="1.0" encoding="utf-8"?>
<worksheet xmlns="http://schemas.openxmlformats.org/spreadsheetml/2006/main">
  <sheetPr>
    <tabColor rgb="00A56A43"/>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48" customWidth="1" min="1" max="1"/>
    <col width="35" customWidth="1" min="2" max="2"/>
    <col width="9" customWidth="1" min="3" max="3"/>
    <col width="15" customWidth="1" min="4" max="4"/>
    <col width="12" customWidth="1" min="5" max="5"/>
    <col width="25" customWidth="1" min="6" max="6"/>
    <col width="25" customWidth="1" min="7" max="7"/>
    <col width="16" customWidth="1" min="8" max="8"/>
    <col width="16" customWidth="1" min="9" max="9"/>
    <col width="19" customWidth="1" min="10" max="10"/>
    <col width="48" customWidth="1" min="11" max="11"/>
    <col width="48" customWidth="1" min="12" max="12"/>
    <col width="48" customWidth="1" min="13" max="13"/>
    <col width="48" customWidth="1" min="14" max="14"/>
    <col width="48" customWidth="1" min="15" max="15"/>
    <col width="14" customWidth="1" min="16" max="16"/>
    <col width="16" customWidth="1" min="17" max="17"/>
    <col width="48" customWidth="1" min="18" max="18"/>
    <col width="48" customWidth="1" min="19" max="19"/>
    <col width="48" customWidth="1" min="20" max="20"/>
    <col width="17" customWidth="1" min="21" max="21"/>
    <col width="48" customWidth="1" min="22" max="22"/>
    <col width="48" customWidth="1" min="23" max="23"/>
  </cols>
  <sheetData>
    <row r="1">
      <c r="A1" s="9" t="inlineStr">
        <is>
          <t>run_id</t>
        </is>
      </c>
      <c r="B1" s="9" t="inlineStr">
        <is>
          <t>recorded_at</t>
        </is>
      </c>
      <c r="C1" s="9" t="inlineStr">
        <is>
          <t>subject</t>
        </is>
      </c>
      <c r="D1" s="9" t="inlineStr">
        <is>
          <t>question_type</t>
        </is>
      </c>
      <c r="E1" s="9" t="inlineStr">
        <is>
          <t>difficulty</t>
        </is>
      </c>
      <c r="F1" s="9" t="inlineStr">
        <is>
          <t>generator_model</t>
        </is>
      </c>
      <c r="G1" s="9" t="inlineStr">
        <is>
          <t>reviewer_model</t>
        </is>
      </c>
      <c r="H1" s="9" t="inlineStr">
        <is>
          <t>status</t>
        </is>
      </c>
      <c r="I1" s="9" t="inlineStr">
        <is>
          <t>question_count</t>
        </is>
      </c>
      <c r="J1" s="9" t="inlineStr">
        <is>
          <t>input_chunk_count</t>
        </is>
      </c>
      <c r="K1" s="9" t="inlineStr">
        <is>
          <t>input_chunk_refs</t>
        </is>
      </c>
      <c r="L1" s="9" t="inlineStr">
        <is>
          <t>source_topic_tags</t>
        </is>
      </c>
      <c r="M1" s="9" t="inlineStr">
        <is>
          <t>input_context_preview</t>
        </is>
      </c>
      <c r="N1" s="9" t="inlineStr">
        <is>
          <t>generated_titles</t>
        </is>
      </c>
      <c r="O1" s="9" t="inlineStr">
        <is>
          <t>generated_body_view</t>
        </is>
      </c>
      <c r="P1" s="9" t="inlineStr">
        <is>
          <t>review_score</t>
        </is>
      </c>
      <c r="Q1" s="9" t="inlineStr">
        <is>
          <t>review_status</t>
        </is>
      </c>
      <c r="R1" s="9" t="inlineStr">
        <is>
          <t>review_issues</t>
        </is>
      </c>
      <c r="S1" s="9" t="inlineStr">
        <is>
          <t>review_suggestions</t>
        </is>
      </c>
      <c r="T1" s="9" t="inlineStr">
        <is>
          <t>rule_based_summary</t>
        </is>
      </c>
      <c r="U1" s="9" t="inlineStr">
        <is>
          <t>prompt_versions</t>
        </is>
      </c>
      <c r="V1" s="9" t="inlineStr">
        <is>
          <t>evidence_file</t>
        </is>
      </c>
      <c r="W1" s="9" t="inlineStr">
        <is>
          <t>history_file</t>
        </is>
      </c>
    </row>
    <row r="2">
      <c r="A2" t="inlineStr">
        <is>
          <t>generation-review-20260716103515179-912b041b287b4e0f98bf3437</t>
        </is>
      </c>
      <c r="B2" t="inlineStr">
        <is>
          <t>2026-07-16T10:35:15.1800283+00:00</t>
        </is>
      </c>
      <c r="C2" t="inlineStr">
        <is>
          <t>C</t>
        </is>
      </c>
      <c r="D2" t="inlineStr">
        <is>
          <t>FE</t>
        </is>
      </c>
      <c r="E2" t="inlineStr">
        <is>
          <t>Easy</t>
        </is>
      </c>
      <c r="F2" t="inlineStr">
        <is>
          <t>gpt-5.4-mini</t>
        </is>
      </c>
      <c r="G2" t="inlineStr">
        <is>
          <t>gpt-5.4-mini</t>
        </is>
      </c>
      <c r="H2" t="inlineStr">
        <is>
          <t>needs_revision</t>
        </is>
      </c>
      <c r="I2" t="n">
        <v>1</v>
      </c>
      <c r="J2" t="n">
        <v>0</v>
      </c>
      <c r="K2" t="inlineStr"/>
      <c r="L2" t="inlineStr"/>
      <c r="M2" t="inlineStr"/>
      <c r="N2" t="inlineStr">
        <is>
          <t>Valid C Variable Declaration</t>
        </is>
      </c>
      <c r="O2" t="inlineStr">
        <is>
          <t>Question 1: Valid C Variable Declaration
Type: FE
Difficulty: Easy
Description: Which of the following is a valid C declaration of an integer variable named count?
Options:
  A. int count;
  B. integer count;
  C. var count = 0;
  D. int = count;
Correct answer: A
Explanation: In C, an integer variable is declared using the type int followed by the variable name and a semicolon. 'integer' and 'var' are not C keywords, and 'int = count;' is invalid syntax.</t>
        </is>
      </c>
      <c r="P2" t="inlineStr">
        <is>
          <t>0.3</t>
        </is>
      </c>
      <c r="Q2" t="inlineStr">
        <is>
          <t>needs_revision</t>
        </is>
      </c>
      <c r="R2" t="inlineStr">
        <is>
          <t>Question must contain at least one topic tag.</t>
        </is>
      </c>
      <c r="S2" t="inlineStr">
        <is>
          <t>Fix schema violations before accepting question output.</t>
        </is>
      </c>
      <c r="T2" t="inlineStr">
        <is>
          <t>Question must contain at least one topic tag. | FE explanation suggests deeper reasoning demand.</t>
        </is>
      </c>
      <c r="U2" t="inlineStr"/>
      <c r="V2" t="inlineStr">
        <is>
          <t>Docs/Prototype_Document/Guides/Templates/AI_Report/report_evidence/question-generation/generation-review-20260716103515179-912b041b287b4e0f98bf3437.md</t>
        </is>
      </c>
      <c r="W2" t="inlineStr">
        <is>
          <t>src-dotnet/Ape.AiModule.Api/App_Data/run-history/generation-review/generation-review-20260716103515179-912b041b287b4e0f98bf3437.json</t>
        </is>
      </c>
    </row>
    <row r="3">
      <c r="A3" t="inlineStr">
        <is>
          <t>generation-review-20260717181132542-6c71db15229f4b8abc613cd2</t>
        </is>
      </c>
      <c r="B3" t="inlineStr">
        <is>
          <t>2026-07-17T18:11:32.5421338+00:00</t>
        </is>
      </c>
      <c r="C3" t="inlineStr">
        <is>
          <t>C</t>
        </is>
      </c>
      <c r="D3" t="inlineStr">
        <is>
          <t>FE</t>
        </is>
      </c>
      <c r="E3" t="inlineStr">
        <is>
          <t>Medium</t>
        </is>
      </c>
      <c r="F3" t="inlineStr">
        <is>
          <t>models/gemini-3.5-flash</t>
        </is>
      </c>
      <c r="G3" t="inlineStr">
        <is>
          <t>models/gemini-3.5-flash</t>
        </is>
      </c>
      <c r="H3" t="inlineStr">
        <is>
          <t>needs_revision</t>
        </is>
      </c>
      <c r="I3" t="n">
        <v>3</v>
      </c>
      <c r="J3" t="n">
        <v>12</v>
      </c>
      <c r="K3" t="inlineStr">
        <is>
          <t>chunk-0001, chunk-0002, chunk-0003, chunk-0004, chunk-0005, chunk-0006, chunk-0007, chunk-0008, chunk-0009, chunk-0010 | +2 more</t>
        </is>
      </c>
      <c r="L3" t="inlineStr">
        <is>
          <t>array, class, condition, en, loop, pointer, variables</t>
        </is>
      </c>
      <c r="M3" t="inlineStr">
        <is>
          <t># slide10 int Type Size Specifiers Specifying the size of an int ensures that the type contains a minimum number of bits. The three specifiers are: short: at least 16 bits long: at least 32 bits long long: at least 64... || # slide16 Negative and Positive Values Computers store negative integers using encoding schemes: Two's complement notation, One's complement notation, and Sign magnitude notation. All of these schemes represent non-ne... || # slide24 Declaring (Creating) Variables To create a variable, specify the data type and assign it a value: Syntax: For example: char section int numberOfClasses; double cashFare = 2.25; Rules for naming variables are...</t>
        </is>
      </c>
      <c r="N3" t="inlineStr">
        <is>
          <t>FE Question 1: variables | FE Question 2: variables | FE Question 3: class</t>
        </is>
      </c>
      <c r="O3" t="inlineStr">
        <is>
          <t>Question 1: FE Question 1: variables
Type: FE
Difficulty: Medium
Description: Based on the chunk content, select the best explanation for variables.
Topic tags: variables
Source chunks: chunk-0001
Options:
  A. Correct statement about variables
  B. Distractor option 1
  C. Distractor option 2
  D. Distractor option 3
Correct answer: A. Correct statement about variables
Explanation: A is marked as the correct answer in this demo output.
Question 2: FE Question 2: variables
Type: FE
Difficulty: Medium
Description: Based on the chunk content, select the best explanation for variables.
Topic tags: variables
Source chunks: chunk-0002
Options:
  A. Correct statement about variables
  B. Distractor option 1
  C. Distractor option 2
  D. Distractor option 3
Correct answer: A. Correct statement about variables
Explanation: A is marked as the correct answer in this demo output.
Question 3: FE Question 3: class
Type: FE
Difficulty: Medium
Description: Based on the chunk content, select the best explanation for class.
Topic tags: class, en
Source chunks: chunk-0003
Options:
  A. Correct statement about class
  B. Distractor option 1
  C. Distractor option 2
  D. Distractor option 3
Correct answer: A. Correct statement about class
Explanation: A is marked as the correct answer in this demo output.</t>
        </is>
      </c>
      <c r="P3" t="inlineStr">
        <is>
          <t>0.4</t>
        </is>
      </c>
      <c r="Q3" t="inlineStr">
        <is>
          <t>needs_revision</t>
        </is>
      </c>
      <c r="R3" t="inlineStr">
        <is>
          <t>FE correct_answer must match option labels. | Difficulty alignment mismatch: requested 'Medium' but estimated 'Easy'.</t>
        </is>
      </c>
      <c r="S3" t="inlineStr">
        <is>
          <t>Question set is structurally valid for benchmark execution. | Proceed to manual academic validation before production publishing. | Fix schema violations before retrying generation. | Adjust the generated question so that the reasoning load matches the requested difficulty.</t>
        </is>
      </c>
      <c r="T3" t="inlineStr">
        <is>
          <t>FE correct_answer must match option labels. | FE correct_answer must match option labels. | FE correct_answer must match option labels.</t>
        </is>
      </c>
      <c r="U3" t="inlineStr"/>
      <c r="V3" t="inlineStr">
        <is>
          <t>Docs/Prototype_Document/Guides/Templates/AI_Report/report_evidence/question-generation/generation-review-20260717181132542-6c71db15229f4b8abc613cd2.md</t>
        </is>
      </c>
      <c r="W3" t="inlineStr">
        <is>
          <t>src-dotnet/Ape.AiModule.Api/App_Data/run-history/generation-review/generation-review-20260717181132542-6c71db15229f4b8abc613cd2.json</t>
        </is>
      </c>
    </row>
    <row r="4">
      <c r="A4" t="inlineStr">
        <is>
          <t>generation-review-20260717184646227-2c460e2100ae4e9596818d94</t>
        </is>
      </c>
      <c r="B4" t="inlineStr">
        <is>
          <t>2026-07-17T18:46:46.2272373+00:00</t>
        </is>
      </c>
      <c r="C4" t="inlineStr">
        <is>
          <t>C</t>
        </is>
      </c>
      <c r="D4" t="inlineStr">
        <is>
          <t>FE</t>
        </is>
      </c>
      <c r="E4" t="inlineStr">
        <is>
          <t>Medium</t>
        </is>
      </c>
      <c r="F4" t="inlineStr">
        <is>
          <t>gpt-5.4-mini</t>
        </is>
      </c>
      <c r="G4" t="inlineStr">
        <is>
          <t>gpt-5.4-mini</t>
        </is>
      </c>
      <c r="H4" t="inlineStr">
        <is>
          <t>needs_revision</t>
        </is>
      </c>
      <c r="I4" t="n">
        <v>1</v>
      </c>
      <c r="J4" t="n">
        <v>12</v>
      </c>
      <c r="K4" t="inlineStr">
        <is>
          <t>chunk-0001, chunk-0002, chunk-0003, chunk-0004, chunk-0005, chunk-0006, chunk-0007, chunk-0008, chunk-0009, chunk-0010 | +2 more</t>
        </is>
      </c>
      <c r="L4" t="inlineStr">
        <is>
          <t>array, class, condition, en, loop, pointer, variables</t>
        </is>
      </c>
      <c r="M4" t="inlineStr">
        <is>
          <t># slide10 int Type Size Specifiers Specifying the size of an int ensures that the type contains a minimum number of bits. The three specifiers are: short: at least 16 bits long: at least 32 bits long long: at least 64... || # slide16 Negative and Positive Values Computers store negative integers using encoding schemes: Two's complement notation, One's complement notation, and Sign magnitude notation. All of these schemes represent non-ne... || # slide24 Declaring (Creating) Variables To create a variable, specify the data type and assign it a value: Syntax: For example: char section int numberOfClasses; double cashFare = 2.25; Rules for naming variables are...</t>
        </is>
      </c>
      <c r="N4" t="inlineStr">
        <is>
          <t>Roles of scanf and printf Arguments</t>
        </is>
      </c>
      <c r="O4" t="inlineStr">
        <is>
          <t>Question 1: Roles of scanf and printf Arguments
Type: FE
Difficulty: Medium
Description: Consider the statements about C input/output functions in the slides. Which option correctly describes both `scanf("%d%d", &amp;n, &amp;m);` and `printf("%d %d", n, m);`?
Topic tags: variables, class, en, pointer
Source chunks: chunk-0001, chunk-0002, chunk-0003
Options:
  A. `scanf` uses a format string followed by variable addresses, while `printf` uses a format string followed by the values to display.
  B. `scanf` uses the values of `n` and `m` directly, while `printf` requires `&amp;n` and `&amp;m` to print them.
  C. Both `scanf` and `printf` require only variable addresses after the format string.
  D. `scanf` prints the values of variables to the screen, while `printf` stores fresh input into memory locations.
Correct answer: A
Explanation: The slides state that `scanf("input format", &amp;var1, &amp;var2, ...)` takes a format string and addresses of variables so the typed input can be stored in those memory locations. They also state that `printf("output format", var1, var2, ...)` outputs the values of variables, so it uses values, not addresses. Option B reverses this behavior. Option C is wrong because `printf` does not need addresses. Option D swaps the roles of the two functions.</t>
        </is>
      </c>
      <c r="P4" t="inlineStr">
        <is>
          <t>0.55</t>
        </is>
      </c>
      <c r="Q4" t="inlineStr">
        <is>
          <t>needs_revision</t>
        </is>
      </c>
      <c r="R4" t="inlineStr">
        <is>
          <t>Difficulty alignment mismatch: requested 'Medium' but estimated 'Easy'. | [RuleBased] Difficulty mismatch: requested 'Medium' but rule-based alignment estimated 'Easy'.</t>
        </is>
      </c>
      <c r="S4" t="inlineStr">
        <is>
          <t>Consider making the description slightly more specific to the slide examples by mentioning that scanf stores input into variables and printf displays variable values. | Adjust the generated question so that the reasoning load matches the requested difficulty.</t>
        </is>
      </c>
      <c r="T4" t="inlineStr">
        <is>
          <t>FE explanation suggests deeper reasoning demand.</t>
        </is>
      </c>
      <c r="U4" t="inlineStr"/>
      <c r="V4" t="inlineStr">
        <is>
          <t>Docs/Prototype_Document/Guides/Templates/AI_Report/report_evidence/question-generation/generation-review-20260717184646227-2c460e2100ae4e9596818d94.md</t>
        </is>
      </c>
      <c r="W4" t="inlineStr">
        <is>
          <t>src-dotnet/Ape.AiModule.Api/App_Data/run-history/generation-review/generation-review-20260717184646227-2c460e2100ae4e9596818d94.json</t>
        </is>
      </c>
    </row>
    <row r="5">
      <c r="A5" t="inlineStr">
        <is>
          <t>generation-review-20260717185443614-7a3b9f86583145b4b0ffe1c6</t>
        </is>
      </c>
      <c r="B5" t="inlineStr">
        <is>
          <t>2026-07-17T18:54:43.614625+00:00</t>
        </is>
      </c>
      <c r="C5" t="inlineStr">
        <is>
          <t>C</t>
        </is>
      </c>
      <c r="D5" t="inlineStr">
        <is>
          <t>FE</t>
        </is>
      </c>
      <c r="E5" t="inlineStr">
        <is>
          <t>Medium</t>
        </is>
      </c>
      <c r="F5" t="inlineStr">
        <is>
          <t>gpt-5.4-mini</t>
        </is>
      </c>
      <c r="G5" t="inlineStr">
        <is>
          <t>gpt-5.4-mini</t>
        </is>
      </c>
      <c r="H5" t="inlineStr">
        <is>
          <t>needs_revision</t>
        </is>
      </c>
      <c r="I5" t="n">
        <v>5</v>
      </c>
      <c r="J5" t="n">
        <v>12</v>
      </c>
      <c r="K5" t="inlineStr">
        <is>
          <t>chunk-0001, chunk-0002, chunk-0003, chunk-0004, chunk-0005, chunk-0006, chunk-0007, chunk-0008, chunk-0009, chunk-0010 | +2 more</t>
        </is>
      </c>
      <c r="L5" t="inlineStr">
        <is>
          <t>array, class, condition, en, loop, pointer, variables</t>
        </is>
      </c>
      <c r="M5" t="inlineStr">
        <is>
          <t># slide10 int Type Size Specifiers Specifying the size of an int ensures that the type contains a minimum number of bits. The three specifiers are: short: at least 16 bits long: at least 32 bits long long: at least 64... || # slide16 Negative and Positive Values Computers store negative integers using encoding schemes: Two's complement notation, One's complement notation, and Sign magnitude notation. All of these schemes represent non-ne... || # slide24 Declaring (Creating) Variables To create a variable, specify the data type and assign it a value: Syntax: For example: char section int numberOfClasses; double cashFare = 2.25; Rules for naming variables are...</t>
        </is>
      </c>
      <c r="N5" t="inlineStr">
        <is>
          <t>Meaning of sizeof in C | scanf and printf Parameters | Integer Division with Mixed Operands | Implicit Casting in Assignment | Effect of const on Modification</t>
        </is>
      </c>
      <c r="O5" t="inlineStr">
        <is>
          <t>Question 1: Meaning of sizeof in C
Type: FE
Difficulty: Medium
Description: According to the slides, what does the operator sizeof(var/type) return?
Topic tags: variables, class, en, pointer
Source chunks: chunk-0001, chunk-0002, chunk-0003
Options:
  A. The address of the variable or code
  B. The size in bytes occupied by a variable or type
  C. The value currently stored in the variable
  D. The number of characters in the variable name
Correct answer: A
Explanation: B is correct because the slide explicitly states that sizeof(var/type) returns the size (number of bytes) occupied by a variable or type. A describes the address operator &amp;, not sizeof. C refers to reading a variable's value, and D is unrelated to C semantics.
Question 2: scanf and printf Parameters
Type: FE
Difficulty: Medium
Description: Which statement matches the parameter usage of scanf and printf shown in the slides?
Topic tags: variables, class, en, pointer
Source chunks: chunk-0001, chunk-0002, chunk-0003
Options:
  A. scanf uses a format string followed by addresses of data holders; printf uses a format string followed by variable values
  B. scanf uses variable values only; printf uses addresses only
  C. scanf and printf both require only addresses of variables
  D. scanf prints output to the screen and printf reads input from the keyboard
Correct answer: A
Explanation: A is correct because the slide shows scanf("input format", &amp;var1, &amp;var2, ...) for input and printf("output format", var1, var2, ...) for output. B and C confuse the way these functions receive arguments, and D reverses their basic purposes.
Question 3: Integer Division with Mixed Operands
Type: FE
Difficulty: Medium
Description: What result does the slide imply for the expression 10.0/3?
Topic tags: variables, class, en, pointer
Source chunks: chunk-0001, chunk-0002, chunk-0003
Options:
  A. 3
  B. 3.3333333
  C. 4
  D. 0
Correct answer: A
Explanation: B is correct because the slide shows that 10.0/3 gives 3.3333333. The presence of the floating-point literal 10.0 makes the division a real-number division. A is the integer-division result for 10/3, while C and D do not match the example.</t>
        </is>
      </c>
      <c r="P5" t="inlineStr">
        <is>
          <t>0.28</t>
        </is>
      </c>
      <c r="Q5" t="inlineStr">
        <is>
          <t>needs_revision</t>
        </is>
      </c>
      <c r="R5" t="inlineStr">
        <is>
          <t>Multiple items have incorrect correct_answer labels that do not match the explanation or the supported slide content. | Question 1: The explanation says B is correct, but correct_answer is A. | Question 2: The explanation says A is correct, but correct_answer is A; however, the response text is inconsistent with the explanation style and should be checked for accuracy and clarity. | Question 3: The explanation says B is correct, but correct_answer is A. | Question 4: The explanation says B is correct, but correct_answer is A. | Question 5: The explanation says B is correct, but correct_answer is A. | The set is not internally consistent because every item appears to have the same A-label mistake pattern. | Topic tags are noisy and include broad or irrelevant tags such as class, en, and pointer for questions that are not about pointers. | Several explanations contradict the selected answer label, which makes the set invalid for assessment use. | Although the underlying facts are mostly grounded in the chunks, the answer-key mismatch makes the content functionally incorrect. | +2 more</t>
        </is>
      </c>
      <c r="S5" t="inlineStr">
        <is>
          <t>Fix each correct_answer to match the explanation and the source chunks. | Review every explanation to ensure the stated correct option label aligns with the actual chosen answer. | Remove irrelevant topic tags and keep tags narrowly aligned to the specific concept tested. | Consider slightly improving distractor quality where options are too close to direct textbook phrasing, while keeping them beginner-appropriate. | After correcting answer labels, run a consistency pass to ensure no item has the same labeling error. | Adjust the generated question so that the reasoning load matches the requested difficulty.</t>
        </is>
      </c>
      <c r="T5" t="inlineStr">
        <is>
          <t>FE explanation suggests deeper reasoning demand.</t>
        </is>
      </c>
      <c r="U5" t="inlineStr"/>
      <c r="V5" t="inlineStr">
        <is>
          <t>Docs/Prototype_Document/Guides/Templates/AI_Report/report_evidence/question-generation/generation-review-20260717185443614-7a3b9f86583145b4b0ffe1c6.md</t>
        </is>
      </c>
      <c r="W5" t="inlineStr">
        <is>
          <t>src-dotnet/Ape.AiModule.Api/App_Data/run-history/generation-review/generation-review-20260717185443614-7a3b9f86583145b4b0ffe1c6.json</t>
        </is>
      </c>
    </row>
    <row r="6">
      <c r="A6" t="inlineStr">
        <is>
          <t>generation-review-20260717191633424-78ede2c1a3264bb6bd2953fd</t>
        </is>
      </c>
      <c r="B6" t="inlineStr">
        <is>
          <t>2026-07-17T19:16:33.4247825+00:00</t>
        </is>
      </c>
      <c r="C6" t="inlineStr">
        <is>
          <t>C</t>
        </is>
      </c>
      <c r="D6" t="inlineStr">
        <is>
          <t>FE</t>
        </is>
      </c>
      <c r="E6" t="inlineStr">
        <is>
          <t>Medium</t>
        </is>
      </c>
      <c r="F6" t="inlineStr">
        <is>
          <t>gpt-5.4-mini</t>
        </is>
      </c>
      <c r="G6" t="inlineStr">
        <is>
          <t>gemini-3.5-flash</t>
        </is>
      </c>
      <c r="H6" t="inlineStr">
        <is>
          <t>needs_revision</t>
        </is>
      </c>
      <c r="I6" t="n">
        <v>5</v>
      </c>
      <c r="J6" t="n">
        <v>12</v>
      </c>
      <c r="K6" t="inlineStr">
        <is>
          <t>chunk-0001, chunk-0002, chunk-0003, chunk-0004, chunk-0005, chunk-0006, chunk-0007, chunk-0008, chunk-0009, chunk-0010 | +2 more</t>
        </is>
      </c>
      <c r="L6" t="inlineStr">
        <is>
          <t>array, class, condition, en, loop, pointer, variables</t>
        </is>
      </c>
      <c r="M6" t="inlineStr">
        <is>
          <t># slide10 int Type Size Specifiers Specifying the size of an int ensures that the type contains a minimum number of bits. The three specifiers are: short: at least 16 bits long: at least 32 bits long long: at least 64... || # slide16 Negative and Positive Values Computers store negative integers using encoding schemes: Two's complement notation, One's complement notation, and Sign magnitude notation. All of these schemes represent non-ne... || # slide24 Declaring (Creating) Variables To create a variable, specify the data type and assign it a value: Syntax: For example: char section int numberOfClasses; double cashFare = 2.25; Rules for naming variables are...</t>
        </is>
      </c>
      <c r="N6" t="inlineStr">
        <is>
          <t>Choosing a data type for a book ID | Valid C variable name | Attempting to modify a const-qualified value | Meaning of addresses in scanf | Result of floating-point division</t>
        </is>
      </c>
      <c r="O6" t="inlineStr">
        <is>
          <t>Question 1: Choosing a data type for a book ID
Type: FE
Difficulty: Medium
Description: A program needs to store a unique book ID such as 2345678901. Which data type is the most suitable choice among the options below?
Topic tags: variables, class, en, pointer
Source chunks: chunk-0001, chunk-0002, chunk-0003
Options:
  A. char
  B. int
  C. double
  D. float
Correct answer: A
Explanation: The best choice is int because the chunks state that int stores integer values, while char is for small integers or single characters and float/double are for floating-point numbers. A book ID like 2345678901 is an integer value, so int is the most appropriate among the given options. char is too small for such a large ID, and float/double are not the right kinds of types for exact integral identifiers.
Question 2: Valid C variable name
Type: FE
Difficulty: Medium
Description: Which of the following is a valid C variable name based on the naming rules?
Topic tags: variables, class, en, pointer
Source chunks: chunk-0001, chunk-0002, chunk-0003
Options:
  A. 2totalBooks
  B. total_books
  C. total books
  D. int
Correct answer: A
Explanation: total_books is valid because names can contain letters, digits, and underscores, must begin with a letter or underscore, must not contain whitespace or special characters, and must not be a C reserved word. 2totalBooks is invalid because it begins with a digit. total books is invalid because it contains a space. int is invalid because it is a reserved word.
Question 3: Attempting to modify a const-qualified value
Type: FE
Difficulty: Medium
Description: What happens if a program instruction attempts to modify a value declared with the const qualifier?
Topic tags: variables, class, en, pointer
Source chunks: chunk-0001, chunk-0002, chunk-0003
Options:
  A. The value changes normally at runtime.
  B. The compiler reports an error.
  C. The value becomes unsigned automatically.
  D. The variable is converted into a macro.
Correct answer: A
Explanation: A const-qualified type is unmodifiable. The chunk explicitly says that if a program instruction attempts to modify a const qualified type, the compiler will report an error. The value does not change normally, it does not become unsigned, and const is not the same as a macro replacement created by #define.</t>
        </is>
      </c>
      <c r="P6" t="inlineStr">
        <is>
          <t>0.0</t>
        </is>
      </c>
      <c r="Q6" t="inlineStr">
        <is>
          <t>needs_revision</t>
        </is>
      </c>
      <c r="R6" t="inlineStr">
        <is>
          <t>Question 1: The 'CorrectAnswer' is set to ['A'] (char), but the explanation asserts that 'int' (Option B) is the correct answer. Furthermore, 2345678901 exceeds the range of standard signed 32-bit int, let alone char. | Question 2: The 'CorrectAnswer' is set to ['A'] (2totalBooks), which is an invalid variable name. The explanation correctly identifies Option B (total_books) as the valid one, meaning the CorrectAnswer label is wrong. | Question 3: The 'CorrectAnswer' is set to ['A'] (The value changes normally at runtime), but modifying a const value causes a compiler error. The explanation points to Option B as correct, showing a mismatch with the CorrectAnswer label. | Question 5: The 'CorrectAnswer' is set to ['A'] (3), but the expression 10.0 / 3 evaluates to 3.3333333 (Option B), as acknowledged in the explanation. | Difficulty alignment mismatch: requested 'Medium' but estimated 'Easy'. | [RuleBased] Question 2: FE contains duplicated option bodies. | [RuleBased] Difficulty mismatch: requested 'Medium' but rule-based alignment estimated 'Easy'.</t>
        </is>
      </c>
      <c r="S6" t="inlineStr">
        <is>
          <t>Correct the 'CorrectAnswer' values to match the actual correct options described in the explanations (e.g., Q1 -&gt; B/D, Q2 -&gt; B, Q3 -&gt; B, Q5 -&gt; B). | For Q1, ensure the selected data type can actually hold 2345678901 (since 32-bit signed int only goes up to 2.14 billion, 2345678901 would overflow it; standard long/long long or unsigned types would be better suited, but if restricted to standard options, clarify the constraints). | Adjust the generated question so that the reasoning load matches the requested difficulty.</t>
        </is>
      </c>
      <c r="T6" t="inlineStr">
        <is>
          <t>FE explanation suggests deeper reasoning demand.</t>
        </is>
      </c>
      <c r="U6" t="inlineStr"/>
      <c r="V6" t="inlineStr">
        <is>
          <t>Docs/Prototype_Document/Guides/Templates/AI_Report/report_evidence/question-generation/generation-review-20260717191633424-78ede2c1a3264bb6bd2953fd.md</t>
        </is>
      </c>
      <c r="W6" t="inlineStr">
        <is>
          <t>src-dotnet/Ape.AiModule.Api/App_Data/run-history/generation-review/generation-review-20260717191633424-78ede2c1a3264bb6bd2953fd.json</t>
        </is>
      </c>
    </row>
    <row r="7">
      <c r="A7" t="inlineStr">
        <is>
          <t>generation-review-20260717194029401-5e857a81eb1644d4a93d68ba</t>
        </is>
      </c>
      <c r="B7" t="inlineStr">
        <is>
          <t>2026-07-17T19:40:29.4018324+00:00</t>
        </is>
      </c>
      <c r="C7" t="inlineStr">
        <is>
          <t>C</t>
        </is>
      </c>
      <c r="D7" t="inlineStr">
        <is>
          <t>PE</t>
        </is>
      </c>
      <c r="E7" t="inlineStr">
        <is>
          <t>Easy</t>
        </is>
      </c>
      <c r="F7" t="inlineStr">
        <is>
          <t>gpt-5.4-mini</t>
        </is>
      </c>
      <c r="G7" t="inlineStr">
        <is>
          <t>gemini-3.5-flash</t>
        </is>
      </c>
      <c r="H7" t="inlineStr">
        <is>
          <t>needs_revision</t>
        </is>
      </c>
      <c r="I7" t="n">
        <v>1</v>
      </c>
      <c r="J7" t="n">
        <v>12</v>
      </c>
      <c r="K7" t="inlineStr">
        <is>
          <t>chunk-0001, chunk-0002, chunk-0003, chunk-0004, chunk-0005, chunk-0006, chunk-0007, chunk-0008, chunk-0009, chunk-0010 | +2 more</t>
        </is>
      </c>
      <c r="L7" t="inlineStr">
        <is>
          <t>array, class, condition, en, loop, pointer, variables</t>
        </is>
      </c>
      <c r="M7" t="inlineStr">
        <is>
          <t># slide10 int Type Size Specifiers Specifying the size of an int ensures that the type contains a minimum number of bits. The three specifiers are: short: at least 16 bits long: at least 32 bits long long: at least 64... || # slide16 Negative and Positive Values Computers store negative integers using encoding schemes: Two's complement notation, One's complement notation, and Sign magnitude notation. All of these schemes represent non-ne... || # slide24 Declaring (Creating) Variables To create a variable, specify the data type and assign it a value: Syntax: For example: char section int numberOfClasses; double cashFare = 2.25; Rules for naming variables are...</t>
        </is>
      </c>
      <c r="N7" t="inlineStr">
        <is>
          <t>Rectangle Area and Perimeter</t>
        </is>
      </c>
      <c r="O7" t="inlineStr">
        <is>
          <t>Question 1: Rectangle Area and Perimeter
Type: PE
Difficulty: Easy
Description: Write a C program that reads two integers: the length and the width of a rectangle. The program must: - compute the area as length * width - compute the perimeter as 2 * (length + width) - print the area on the first line - print the perimeter on the second line Use scanf to read the two integers and printf to display the results.
Topic tags: variables, input/output, arithmetic
Source chunks: chunk-0003, chunk-0004, chunk-0007
Skeleton code:
  : #include &lt;stdio.h&gt; int main(void) { int length, width; /* Read the rectangle dimensions */ /* Compute area and perimeter */ /* Print area and perimeter */ return 0; }
Solution code:
  : #include &lt;stdio.h&gt; int main(void) { int length, width; int area, perimeter; scanf("%d%d", &amp;length, &amp;width); area = length * width; perimeter = 2 * (length + width); printf("%d\n...
Test cases:
  input=3 4; expected=12 14; hidden=False
  input=5 10; expected=50 30; hidden=True</t>
        </is>
      </c>
      <c r="P7" t="inlineStr">
        <is>
          <t>0.55</t>
        </is>
      </c>
      <c r="Q7" t="inlineStr">
        <is>
          <t>needs_revision</t>
        </is>
      </c>
      <c r="R7" t="inlineStr">
        <is>
          <t>Difficulty alignment mismatch: requested 'Easy' but estimated 'Medium'. | [RuleBased] Question 1: topic_tags do not overlap with the cited chunk tags. | [RuleBased] Difficulty mismatch: requested 'Easy' but rule-based alignment estimated 'Medium'.</t>
        </is>
      </c>
      <c r="S7" t="inlineStr">
        <is>
          <t>To make the test cases more robust, consider adding a third test case with larger integer boundaries to ensure integer range compliance. | Adjust the generated question so that the reasoning load matches the requested difficulty. | [RuleBased] Question 1: make the PE description more explicit about the required program behavior.</t>
        </is>
      </c>
      <c r="T7" t="inlineStr">
        <is>
          <t>PE description is long enough to suggest a richer implementation task. | PE question includes hidden tests.</t>
        </is>
      </c>
      <c r="U7" t="inlineStr"/>
      <c r="V7" t="inlineStr">
        <is>
          <t>Docs/Prototype_Document/Guides/Templates/AI_Report/report_evidence/question-generation/generation-review-20260717194029401-5e857a81eb1644d4a93d68ba.md</t>
        </is>
      </c>
      <c r="W7" t="inlineStr">
        <is>
          <t>src-dotnet/Ape.AiModule.Api/App_Data/run-history/generation-review/generation-review-20260717194029401-5e857a81eb1644d4a93d68ba.json</t>
        </is>
      </c>
    </row>
    <row r="8">
      <c r="A8" t="inlineStr">
        <is>
          <t>generation-review-20260717194701940-c9e1b9047f6a477d8a243c26</t>
        </is>
      </c>
      <c r="B8" t="inlineStr">
        <is>
          <t>2026-07-17T19:47:01.9404313+00:00</t>
        </is>
      </c>
      <c r="C8" t="inlineStr">
        <is>
          <t>C</t>
        </is>
      </c>
      <c r="D8" t="inlineStr">
        <is>
          <t>PE</t>
        </is>
      </c>
      <c r="E8" t="inlineStr">
        <is>
          <t>Easy</t>
        </is>
      </c>
      <c r="F8" t="inlineStr">
        <is>
          <t>gpt-5.4-mini</t>
        </is>
      </c>
      <c r="G8" t="inlineStr">
        <is>
          <t>gemini-3.5-flash</t>
        </is>
      </c>
      <c r="H8" t="inlineStr">
        <is>
          <t>needs_revision</t>
        </is>
      </c>
      <c r="I8" t="n">
        <v>1</v>
      </c>
      <c r="J8" t="n">
        <v>12</v>
      </c>
      <c r="K8" t="inlineStr">
        <is>
          <t>chunk-0001, chunk-0002, chunk-0003, chunk-0004, chunk-0005, chunk-0006, chunk-0007, chunk-0008, chunk-0009, chunk-0010 | +2 more</t>
        </is>
      </c>
      <c r="L8" t="inlineStr">
        <is>
          <t>array, class, condition, en, loop, pointer, variables</t>
        </is>
      </c>
      <c r="M8" t="inlineStr">
        <is>
          <t># slide10 int Type Size Specifiers Specifying the size of an int ensures that the type contains a minimum number of bits. The three specifiers are: short: at least 16 bits long: at least 32 bits long long: at least 64... || # slide16 Negative and Positive Values Computers store negative integers using encoding schemes: Two's complement notation, One's complement notation, and Sign magnitude notation. All of these schemes represent non-ne... || # slide24 Declaring (Creating) Variables To create a variable, specify the data type and assign it a value: Syntax: For example: char section int numberOfClasses; double cashFare = 2.25; Rules for naming variables are...</t>
        </is>
      </c>
      <c r="N8" t="inlineStr">
        <is>
          <t>Compute the Remainder of an Integer Divided by 3</t>
        </is>
      </c>
      <c r="O8" t="inlineStr">
        <is>
          <t>Question 1: Compute the Remainder of an Integer Divided by 3
Type: PE
Difficulty: Easy
Description: Write a C program that reads one integer n and prints the remainder when n is divided by 3. Use the % operator and print the result on a single line. Example: if the input is 17, the output should be 2.
Topic tags: input_output, arithmetic, operator
Source chunks: chunk-0005
Skeleton code:
  : #include &lt;stdio.h&gt; int main(void) { int n; scanf("%d", &amp;n); return 0; }
Solution code:
  : #include &lt;stdio.h&gt; int main(void) { int n; scanf("%d", &amp;n); printf("%d\n", n % 3); return 0; }
Test cases:
  input=17; expected=2; hidden=False
  input=15; expected=0; hidden=True
  input=8; expected=2; hidden=True</t>
        </is>
      </c>
      <c r="P8" t="inlineStr">
        <is>
          <t>0.55</t>
        </is>
      </c>
      <c r="Q8" t="inlineStr">
        <is>
          <t>needs_revision</t>
        </is>
      </c>
      <c r="R8" t="inlineStr">
        <is>
          <t>Difficulty alignment mismatch: requested 'Easy' but estimated 'Medium'. | [RuleBased] Difficulty mismatch: requested 'Easy' but rule-based alignment estimated 'Medium'.</t>
        </is>
      </c>
      <c r="S8" t="inlineStr">
        <is>
          <t>Adjust the generated question so that the reasoning load matches the requested difficulty. | [RuleBased] Question 1: topic_tags do not overlap with the cited chunk tags. Consider aligning tags more closely to the cited chunks.</t>
        </is>
      </c>
      <c r="T8" t="inlineStr">
        <is>
          <t>PE question includes hidden tests.</t>
        </is>
      </c>
      <c r="U8" t="inlineStr"/>
      <c r="V8" t="inlineStr">
        <is>
          <t>Docs/Prototype_Document/Guides/Templates/AI_Report/report_evidence/question-generation/generation-review-20260717194701940-c9e1b9047f6a477d8a243c26.md</t>
        </is>
      </c>
      <c r="W8" t="inlineStr">
        <is>
          <t>src-dotnet/Ape.AiModule.Api/App_Data/run-history/generation-review/generation-review-20260717194701940-c9e1b9047f6a477d8a243c26.json</t>
        </is>
      </c>
    </row>
  </sheetData>
  <autoFilter ref="A1:W8"/>
  <pageMargins left="0.75" right="0.75" top="1" bottom="1" header="0.5" footer="0.5"/>
</worksheet>
</file>

<file path=xl/worksheets/sheet16.xml><?xml version="1.0" encoding="utf-8"?>
<worksheet xmlns="http://schemas.openxmlformats.org/spreadsheetml/2006/main">
  <sheetPr>
    <tabColor rgb="006A4C93"/>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9" customWidth="1" min="3" max="3"/>
    <col width="10" customWidth="1" min="4" max="4"/>
    <col width="14" customWidth="1" min="5" max="5"/>
    <col width="8" customWidth="1" min="6" max="6"/>
    <col width="17" customWidth="1" min="7" max="7"/>
    <col width="14" customWidth="1" min="8" max="8"/>
    <col width="21" customWidth="1" min="9" max="9"/>
    <col width="16" customWidth="1" min="10" max="10"/>
    <col width="18" customWidth="1" min="11" max="11"/>
    <col width="13" customWidth="1" min="12" max="12"/>
    <col width="18" customWidth="1" min="13" max="13"/>
    <col width="24" customWidth="1" min="14" max="14"/>
    <col width="17" customWidth="1" min="15" max="15"/>
    <col width="12" customWidth="1" min="16" max="16"/>
    <col width="15" customWidth="1" min="17" max="17"/>
    <col width="14" customWidth="1" min="18" max="18"/>
  </cols>
  <sheetData>
    <row r="1">
      <c r="A1" s="9" t="inlineStr">
        <is>
          <t>run_id</t>
        </is>
      </c>
      <c r="B1" s="9" t="inlineStr">
        <is>
          <t>recorded_at</t>
        </is>
      </c>
      <c r="C1" s="9" t="inlineStr">
        <is>
          <t>subject</t>
        </is>
      </c>
      <c r="D1" s="9" t="inlineStr">
        <is>
          <t>language</t>
        </is>
      </c>
      <c r="E1" s="9" t="inlineStr">
        <is>
          <t>mentor_model</t>
        </is>
      </c>
      <c r="F1" s="9" t="inlineStr">
        <is>
          <t>status</t>
        </is>
      </c>
      <c r="G1" s="9" t="inlineStr">
        <is>
          <t>problem_summary</t>
        </is>
      </c>
      <c r="H1" s="9" t="inlineStr">
        <is>
          <t>source_files</t>
        </is>
      </c>
      <c r="I1" s="9" t="inlineStr">
        <is>
          <t>source_code_preview</t>
        </is>
      </c>
      <c r="J1" s="9" t="inlineStr">
        <is>
          <t>mentor_verdict</t>
        </is>
      </c>
      <c r="K1" s="9" t="inlineStr">
        <is>
          <t>issue_categories</t>
        </is>
      </c>
      <c r="L1" s="9" t="inlineStr">
        <is>
          <t>issues_view</t>
        </is>
      </c>
      <c r="M1" s="9" t="inlineStr">
        <is>
          <t>suggestions_view</t>
        </is>
      </c>
      <c r="N1" s="9" t="inlineStr">
        <is>
          <t>failing_scenarios_view</t>
        </is>
      </c>
      <c r="O1" s="9" t="inlineStr">
        <is>
          <t>complexity_view</t>
        </is>
      </c>
      <c r="P1" s="9" t="inlineStr">
        <is>
          <t>confidence</t>
        </is>
      </c>
      <c r="Q1" s="9" t="inlineStr">
        <is>
          <t>evidence_file</t>
        </is>
      </c>
      <c r="R1" s="9" t="inlineStr">
        <is>
          <t>history_file</t>
        </is>
      </c>
    </row>
  </sheetData>
  <autoFilter ref="A1:R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2026-07-18T12:37:47Z</dcterms:created>
  <dcterms:modified xmlns:dcterms="http://purl.org/dc/terms/" xmlns:xsi="http://www.w3.org/2001/XMLSchema-instance" xsi:type="dcterms:W3CDTF">2026-07-19T02:11:09Z</dcterms:modified>
</cp:coreProperties>
</file>